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gosz/Desktop/"/>
    </mc:Choice>
  </mc:AlternateContent>
  <xr:revisionPtr revIDLastSave="0" documentId="13_ncr:1_{B25AB9E7-500F-4C47-8C3C-0870EE367960}" xr6:coauthVersionLast="47" xr6:coauthVersionMax="47" xr10:uidLastSave="{00000000-0000-0000-0000-000000000000}"/>
  <bookViews>
    <workbookView xWindow="620" yWindow="1340" windowWidth="28040" windowHeight="17440" xr2:uid="{9D029B3C-C7E0-6D4B-B87F-D8CA02D726AE}"/>
  </bookViews>
  <sheets>
    <sheet name="Sheet1" sheetId="1" r:id="rId1"/>
  </sheets>
  <definedNames>
    <definedName name="L_21">Sheet1!$E$12</definedName>
    <definedName name="L_31">Sheet1!$E$13</definedName>
    <definedName name="L_32">Sheet1!$F$30</definedName>
    <definedName name="L_41">Sheet1!$E$14</definedName>
    <definedName name="L_42">Sheet1!$F$31</definedName>
    <definedName name="L_43">Sheet1!$G$48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J46" i="1"/>
  <c r="J47" i="1"/>
  <c r="J48" i="1"/>
  <c r="J45" i="1"/>
  <c r="K45" i="1" s="1"/>
  <c r="J53" i="1" s="1"/>
  <c r="F36" i="1"/>
  <c r="G36" i="1"/>
  <c r="H36" i="1"/>
  <c r="E36" i="1"/>
  <c r="H31" i="1"/>
  <c r="H48" i="1" s="1"/>
  <c r="G31" i="1"/>
  <c r="H30" i="1"/>
  <c r="H47" i="1" s="1"/>
  <c r="G30" i="1"/>
  <c r="G47" i="1" s="1"/>
  <c r="G29" i="1"/>
  <c r="G46" i="1" s="1"/>
  <c r="H29" i="1"/>
  <c r="H46" i="1" s="1"/>
  <c r="F29" i="1"/>
  <c r="F46" i="1" s="1"/>
  <c r="G28" i="1"/>
  <c r="G45" i="1" s="1"/>
  <c r="H28" i="1"/>
  <c r="H45" i="1" s="1"/>
  <c r="F45" i="1"/>
  <c r="E28" i="1"/>
  <c r="E45" i="1" s="1"/>
  <c r="E14" i="1"/>
  <c r="E31" i="1" s="1"/>
  <c r="E48" i="1" s="1"/>
  <c r="E13" i="1"/>
  <c r="E30" i="1" s="1"/>
  <c r="E47" i="1" s="1"/>
  <c r="E12" i="1"/>
  <c r="F20" i="1" s="1"/>
  <c r="F37" i="1" s="1"/>
  <c r="F54" i="1" s="1"/>
  <c r="F21" i="1" l="1"/>
  <c r="E29" i="1"/>
  <c r="E46" i="1" s="1"/>
  <c r="K46" i="1" s="1"/>
  <c r="J54" i="1" s="1"/>
  <c r="H20" i="1"/>
  <c r="H37" i="1" s="1"/>
  <c r="H54" i="1" s="1"/>
  <c r="F22" i="1"/>
  <c r="F31" i="1" s="1"/>
  <c r="E21" i="1"/>
  <c r="E22" i="1"/>
  <c r="F30" i="1"/>
  <c r="F47" i="1" s="1"/>
  <c r="K47" i="1" s="1"/>
  <c r="J55" i="1" s="1"/>
  <c r="H22" i="1"/>
  <c r="E20" i="1"/>
  <c r="E37" i="1" s="1"/>
  <c r="E54" i="1" s="1"/>
  <c r="G22" i="1"/>
  <c r="G20" i="1"/>
  <c r="G37" i="1" s="1"/>
  <c r="G54" i="1" s="1"/>
  <c r="H21" i="1"/>
  <c r="G21" i="1"/>
  <c r="F48" i="1" l="1"/>
  <c r="G39" i="1"/>
  <c r="F39" i="1"/>
  <c r="E39" i="1"/>
  <c r="H39" i="1"/>
  <c r="E38" i="1"/>
  <c r="E55" i="1" s="1"/>
  <c r="G38" i="1"/>
  <c r="G55" i="1" s="1"/>
  <c r="H38" i="1"/>
  <c r="H55" i="1" s="1"/>
  <c r="F38" i="1"/>
  <c r="F55" i="1" s="1"/>
  <c r="G48" i="1" l="1"/>
  <c r="G56" i="1" s="1"/>
  <c r="F56" i="1"/>
  <c r="E56" i="1"/>
  <c r="K48" i="1" l="1"/>
  <c r="J56" i="1" s="1"/>
  <c r="H56" i="1"/>
  <c r="E62" i="1" s="1" a="1"/>
  <c r="E62" i="1" s="1"/>
  <c r="K56" i="1" l="1"/>
  <c r="K55" i="1" s="1"/>
  <c r="K54" i="1" s="1"/>
  <c r="K53" i="1" s="1"/>
  <c r="L53" i="1" s="1" a="1"/>
  <c r="L5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<sst xmlns="http://schemas.openxmlformats.org/spreadsheetml/2006/main" count="49" uniqueCount="20">
  <si>
    <r>
      <t>System Matrix</t>
    </r>
    <r>
      <rPr>
        <b/>
        <sz val="12"/>
        <color theme="1"/>
        <rFont val="Aptos Narrow"/>
        <scheme val="minor"/>
      </rPr>
      <t xml:space="preserve"> A</t>
    </r>
  </si>
  <si>
    <t>b</t>
  </si>
  <si>
    <r>
      <t xml:space="preserve">Lower Triangle </t>
    </r>
    <r>
      <rPr>
        <b/>
        <sz val="12"/>
        <color theme="1"/>
        <rFont val="Aptos Narrow"/>
        <scheme val="minor"/>
      </rPr>
      <t>L</t>
    </r>
  </si>
  <si>
    <r>
      <t xml:space="preserve">Upper Triangle </t>
    </r>
    <r>
      <rPr>
        <b/>
        <sz val="12"/>
        <color theme="1"/>
        <rFont val="Aptos Narrow"/>
        <scheme val="minor"/>
      </rPr>
      <t>U</t>
    </r>
  </si>
  <si>
    <t>Row 1</t>
  </si>
  <si>
    <t>Row 2</t>
  </si>
  <si>
    <t>Row 3</t>
  </si>
  <si>
    <t>Row 4</t>
  </si>
  <si>
    <t>Step 1</t>
  </si>
  <si>
    <t>Step 2</t>
  </si>
  <si>
    <t>Step 3</t>
  </si>
  <si>
    <t>Numerical Check</t>
  </si>
  <si>
    <r>
      <rPr>
        <b/>
        <sz val="12"/>
        <color theme="1"/>
        <rFont val="Aptos Narrow"/>
        <scheme val="minor"/>
      </rPr>
      <t>A =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LU</t>
    </r>
  </si>
  <si>
    <t>Pivot</t>
  </si>
  <si>
    <t>Upper Triangle</t>
  </si>
  <si>
    <t>Lower Triangle</t>
  </si>
  <si>
    <t>Y</t>
  </si>
  <si>
    <t>X</t>
  </si>
  <si>
    <r>
      <t xml:space="preserve">Check </t>
    </r>
    <r>
      <rPr>
        <b/>
        <sz val="12"/>
        <color theme="1"/>
        <rFont val="Aptos Narrow"/>
        <scheme val="minor"/>
      </rPr>
      <t>b</t>
    </r>
  </si>
  <si>
    <t>Solve Ly=b. Then solve Ux = 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</si>
</sst>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9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1" fillId="0" borderId="0" xfId="0" applyFont="1"/>
    <xf numFmtId="0" fontId="1" fillId="3" borderId="0" xfId="0" applyFont="1" applyFill="1"/>
    <xf numFmtId="0" fontId="1" fillId="5" borderId="0" xfId="0" applyFont="1" applyFill="1"/>
    <xf numFmtId="0" fontId="0" fillId="0" borderId="2" xfId="0" applyBorder="1"/>
    <xf numFmtId="0" fontId="3" fillId="3" borderId="0" xfId="0" applyFont="1" applyFill="1"/>
    <xf numFmtId="0" fontId="0" fillId="6" borderId="1" xfId="0" applyFill="1" applyBorder="1"/>
    <xf numFmtId="0" fontId="0" fillId="7" borderId="1" xfId="0" applyFill="1" applyBorder="1"/>
    <xf numFmtId="0" fontId="1" fillId="8" borderId="0" xfId="0" applyFont="1" applyFill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9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158B-FCE8-0A47-A4D1-1837CFA738D0}">
  <dimension ref="D2:L68"/>
  <sheetViews>
    <sheetView tabSelected="1" workbookViewId="0">
      <selection activeCell="F5" sqref="F5"/>
    </sheetView>
  </sheetViews>
  <sheetFormatPr baseColWidth="10" defaultRowHeight="16" x14ac:dyDescent="0.2"/>
  <sheetData>
    <row r="2" spans="4:10" x14ac:dyDescent="0.2">
      <c r="E2" s="2" t="s">
        <v>0</v>
      </c>
      <c r="F2" s="2"/>
      <c r="G2" s="2"/>
      <c r="H2" s="2"/>
      <c r="J2" s="5" t="s">
        <v>1</v>
      </c>
    </row>
    <row r="3" spans="4:10" x14ac:dyDescent="0.2">
      <c r="E3" s="9">
        <v>2</v>
      </c>
      <c r="F3" s="10">
        <v>-1</v>
      </c>
      <c r="G3" s="10">
        <v>-1</v>
      </c>
      <c r="H3" s="10">
        <v>0</v>
      </c>
      <c r="J3" s="3">
        <v>1</v>
      </c>
    </row>
    <row r="4" spans="4:10" x14ac:dyDescent="0.2">
      <c r="E4" s="1">
        <v>-1</v>
      </c>
      <c r="F4" s="9">
        <v>4</v>
      </c>
      <c r="G4" s="10">
        <v>-2</v>
      </c>
      <c r="H4" s="10">
        <v>-1</v>
      </c>
      <c r="J4" s="3">
        <v>2</v>
      </c>
    </row>
    <row r="5" spans="4:10" x14ac:dyDescent="0.2">
      <c r="E5" s="1">
        <v>-1</v>
      </c>
      <c r="F5" s="1">
        <v>-2</v>
      </c>
      <c r="G5" s="9">
        <v>4</v>
      </c>
      <c r="H5" s="10">
        <v>-2</v>
      </c>
      <c r="J5" s="3">
        <v>2</v>
      </c>
    </row>
    <row r="6" spans="4:10" x14ac:dyDescent="0.2">
      <c r="E6" s="1">
        <v>0</v>
      </c>
      <c r="F6" s="1">
        <v>-1</v>
      </c>
      <c r="G6" s="1">
        <v>-2</v>
      </c>
      <c r="H6" s="9">
        <v>2</v>
      </c>
      <c r="J6" s="3">
        <v>1</v>
      </c>
    </row>
    <row r="9" spans="4:10" x14ac:dyDescent="0.2">
      <c r="E9" s="6" t="s">
        <v>8</v>
      </c>
    </row>
    <row r="10" spans="4:10" x14ac:dyDescent="0.2">
      <c r="E10" s="2" t="s">
        <v>2</v>
      </c>
      <c r="F10" s="2"/>
      <c r="G10" s="2"/>
      <c r="H10" s="2"/>
      <c r="J10" s="15" t="s">
        <v>13</v>
      </c>
    </row>
    <row r="11" spans="4:10" x14ac:dyDescent="0.2">
      <c r="D11" t="s">
        <v>4</v>
      </c>
      <c r="E11" s="9">
        <v>1</v>
      </c>
      <c r="F11" s="10">
        <v>0</v>
      </c>
      <c r="G11" s="10">
        <v>0</v>
      </c>
      <c r="H11" s="10">
        <v>0</v>
      </c>
      <c r="J11" s="16" t="s">
        <v>14</v>
      </c>
    </row>
    <row r="12" spans="4:10" x14ac:dyDescent="0.2">
      <c r="D12" t="s">
        <v>5</v>
      </c>
      <c r="E12" s="1">
        <f>E4/E3</f>
        <v>-0.5</v>
      </c>
      <c r="F12" s="9">
        <v>1</v>
      </c>
      <c r="G12" s="10">
        <v>0</v>
      </c>
      <c r="H12" s="10">
        <v>0</v>
      </c>
      <c r="J12" s="17" t="s">
        <v>15</v>
      </c>
    </row>
    <row r="13" spans="4:10" x14ac:dyDescent="0.2">
      <c r="D13" t="s">
        <v>6</v>
      </c>
      <c r="E13" s="1">
        <f>E5/E3</f>
        <v>-0.5</v>
      </c>
      <c r="F13" s="1">
        <v>0</v>
      </c>
      <c r="G13" s="9">
        <v>1</v>
      </c>
      <c r="H13" s="10">
        <v>0</v>
      </c>
    </row>
    <row r="14" spans="4:10" x14ac:dyDescent="0.2">
      <c r="D14" t="s">
        <v>7</v>
      </c>
      <c r="E14" s="1">
        <f>E6/E3</f>
        <v>0</v>
      </c>
      <c r="F14" s="1">
        <v>0</v>
      </c>
      <c r="G14" s="1">
        <v>0</v>
      </c>
      <c r="H14" s="9">
        <v>1</v>
      </c>
    </row>
    <row r="17" spans="4:8" x14ac:dyDescent="0.2">
      <c r="E17" s="6" t="s">
        <v>8</v>
      </c>
    </row>
    <row r="18" spans="4:8" x14ac:dyDescent="0.2">
      <c r="E18" s="2" t="s">
        <v>3</v>
      </c>
      <c r="F18" s="2"/>
      <c r="G18" s="2"/>
      <c r="H18" s="2"/>
    </row>
    <row r="19" spans="4:8" x14ac:dyDescent="0.2">
      <c r="D19" t="s">
        <v>4</v>
      </c>
      <c r="E19" s="9">
        <v>2</v>
      </c>
      <c r="F19" s="10">
        <v>-1</v>
      </c>
      <c r="G19" s="10">
        <v>-1</v>
      </c>
      <c r="H19" s="10">
        <v>0</v>
      </c>
    </row>
    <row r="20" spans="4:8" x14ac:dyDescent="0.2">
      <c r="D20" t="s">
        <v>5</v>
      </c>
      <c r="E20" s="1">
        <f>E4-L_21*E3</f>
        <v>0</v>
      </c>
      <c r="F20" s="9">
        <f>F4-L_21*F3</f>
        <v>3.5</v>
      </c>
      <c r="G20" s="10">
        <f>G4-L_21*G3</f>
        <v>-2.5</v>
      </c>
      <c r="H20" s="10">
        <f>H4-L_21*H3</f>
        <v>-1</v>
      </c>
    </row>
    <row r="21" spans="4:8" x14ac:dyDescent="0.2">
      <c r="D21" t="s">
        <v>6</v>
      </c>
      <c r="E21" s="1">
        <f>E5-L_31*E3</f>
        <v>0</v>
      </c>
      <c r="F21" s="1">
        <f>F5-L_31*F3</f>
        <v>-2.5</v>
      </c>
      <c r="G21" s="9">
        <f>G5-L_31*G3</f>
        <v>3.5</v>
      </c>
      <c r="H21" s="10">
        <f>H5-L_31*H3</f>
        <v>-2</v>
      </c>
    </row>
    <row r="22" spans="4:8" x14ac:dyDescent="0.2">
      <c r="D22" t="s">
        <v>7</v>
      </c>
      <c r="E22" s="1">
        <f>E6-L_41*E3</f>
        <v>0</v>
      </c>
      <c r="F22" s="1">
        <f>F6-L_41*F3</f>
        <v>-1</v>
      </c>
      <c r="G22" s="1">
        <f>G6-L_41*G3</f>
        <v>-2</v>
      </c>
      <c r="H22" s="9">
        <f>H6-L_41*H3</f>
        <v>2</v>
      </c>
    </row>
    <row r="24" spans="4:8" ht="17" thickBot="1" x14ac:dyDescent="0.25">
      <c r="D24" s="7"/>
      <c r="E24" s="7"/>
      <c r="F24" s="7"/>
      <c r="G24" s="7"/>
      <c r="H24" s="7"/>
    </row>
    <row r="26" spans="4:8" x14ac:dyDescent="0.2">
      <c r="E26" s="6" t="s">
        <v>9</v>
      </c>
    </row>
    <row r="27" spans="4:8" x14ac:dyDescent="0.2">
      <c r="E27" s="2" t="s">
        <v>2</v>
      </c>
      <c r="F27" s="2"/>
      <c r="G27" s="2"/>
      <c r="H27" s="2"/>
    </row>
    <row r="28" spans="4:8" x14ac:dyDescent="0.2">
      <c r="D28" t="s">
        <v>4</v>
      </c>
      <c r="E28" s="9">
        <f>E11</f>
        <v>1</v>
      </c>
      <c r="F28" s="10">
        <f>F11</f>
        <v>0</v>
      </c>
      <c r="G28" s="10">
        <f t="shared" ref="G28:H28" si="0">G11</f>
        <v>0</v>
      </c>
      <c r="H28" s="10">
        <f t="shared" si="0"/>
        <v>0</v>
      </c>
    </row>
    <row r="29" spans="4:8" x14ac:dyDescent="0.2">
      <c r="D29" t="s">
        <v>5</v>
      </c>
      <c r="E29" s="1">
        <f>E12</f>
        <v>-0.5</v>
      </c>
      <c r="F29" s="9">
        <f>F12</f>
        <v>1</v>
      </c>
      <c r="G29" s="10">
        <f t="shared" ref="G29:H29" si="1">G12</f>
        <v>0</v>
      </c>
      <c r="H29" s="10">
        <f t="shared" si="1"/>
        <v>0</v>
      </c>
    </row>
    <row r="30" spans="4:8" x14ac:dyDescent="0.2">
      <c r="D30" t="s">
        <v>6</v>
      </c>
      <c r="E30" s="1">
        <f>E13</f>
        <v>-0.5</v>
      </c>
      <c r="F30" s="1">
        <f>F21/F20</f>
        <v>-0.7142857142857143</v>
      </c>
      <c r="G30" s="9">
        <f>G13</f>
        <v>1</v>
      </c>
      <c r="H30" s="10">
        <f>H13</f>
        <v>0</v>
      </c>
    </row>
    <row r="31" spans="4:8" x14ac:dyDescent="0.2">
      <c r="D31" t="s">
        <v>7</v>
      </c>
      <c r="E31" s="1">
        <f>E14</f>
        <v>0</v>
      </c>
      <c r="F31" s="1">
        <f>F22/F20</f>
        <v>-0.2857142857142857</v>
      </c>
      <c r="G31" s="1">
        <f>G14</f>
        <v>0</v>
      </c>
      <c r="H31" s="9">
        <f>H14</f>
        <v>1</v>
      </c>
    </row>
    <row r="34" spans="4:11" x14ac:dyDescent="0.2">
      <c r="E34" s="6" t="s">
        <v>9</v>
      </c>
    </row>
    <row r="35" spans="4:11" x14ac:dyDescent="0.2">
      <c r="E35" s="2" t="s">
        <v>3</v>
      </c>
      <c r="F35" s="2"/>
      <c r="G35" s="2"/>
      <c r="H35" s="2"/>
    </row>
    <row r="36" spans="4:11" x14ac:dyDescent="0.2">
      <c r="D36" t="s">
        <v>4</v>
      </c>
      <c r="E36" s="9">
        <f>E19</f>
        <v>2</v>
      </c>
      <c r="F36" s="10">
        <f t="shared" ref="F36:H36" si="2">F19</f>
        <v>-1</v>
      </c>
      <c r="G36" s="10">
        <f t="shared" si="2"/>
        <v>-1</v>
      </c>
      <c r="H36" s="10">
        <f t="shared" si="2"/>
        <v>0</v>
      </c>
    </row>
    <row r="37" spans="4:11" x14ac:dyDescent="0.2">
      <c r="D37" t="s">
        <v>5</v>
      </c>
      <c r="E37" s="1">
        <f>E20</f>
        <v>0</v>
      </c>
      <c r="F37" s="9">
        <f t="shared" ref="F37:H37" si="3">F20</f>
        <v>3.5</v>
      </c>
      <c r="G37" s="10">
        <f t="shared" si="3"/>
        <v>-2.5</v>
      </c>
      <c r="H37" s="10">
        <f t="shared" si="3"/>
        <v>-1</v>
      </c>
    </row>
    <row r="38" spans="4:11" x14ac:dyDescent="0.2">
      <c r="D38" t="s">
        <v>6</v>
      </c>
      <c r="E38" s="1">
        <f>E22-L_31*E20</f>
        <v>0</v>
      </c>
      <c r="F38" s="1">
        <f>F21-L_32*F20</f>
        <v>0</v>
      </c>
      <c r="G38" s="9">
        <f>G21-L_32*G20</f>
        <v>1.7142857142857142</v>
      </c>
      <c r="H38" s="10">
        <f>H21-L_32*H20</f>
        <v>-2.7142857142857144</v>
      </c>
    </row>
    <row r="39" spans="4:11" x14ac:dyDescent="0.2">
      <c r="D39" t="s">
        <v>7</v>
      </c>
      <c r="E39" s="1">
        <f>E22-L_42*E20</f>
        <v>0</v>
      </c>
      <c r="F39" s="1">
        <f>F22-L_42*F20</f>
        <v>0</v>
      </c>
      <c r="G39" s="1">
        <f>G22-L_42*G20</f>
        <v>-2.7142857142857144</v>
      </c>
      <c r="H39" s="9">
        <f>H22-L_42*H20</f>
        <v>1.7142857142857144</v>
      </c>
    </row>
    <row r="41" spans="4:11" ht="17" thickBot="1" x14ac:dyDescent="0.25">
      <c r="D41" s="7"/>
      <c r="E41" s="7"/>
      <c r="F41" s="7"/>
      <c r="G41" s="7"/>
      <c r="H41" s="7"/>
    </row>
    <row r="43" spans="4:11" x14ac:dyDescent="0.2">
      <c r="E43" s="6" t="s">
        <v>10</v>
      </c>
    </row>
    <row r="44" spans="4:11" x14ac:dyDescent="0.2">
      <c r="E44" s="2" t="s">
        <v>2</v>
      </c>
      <c r="F44" s="2"/>
      <c r="G44" s="2"/>
      <c r="H44" s="2"/>
      <c r="J44" s="11" t="s">
        <v>1</v>
      </c>
      <c r="K44" s="11" t="s">
        <v>16</v>
      </c>
    </row>
    <row r="45" spans="4:11" x14ac:dyDescent="0.2">
      <c r="D45" t="s">
        <v>4</v>
      </c>
      <c r="E45" s="9">
        <f>E28</f>
        <v>1</v>
      </c>
      <c r="F45" s="10">
        <f t="shared" ref="F45:H45" si="4">F28</f>
        <v>0</v>
      </c>
      <c r="G45" s="10">
        <f t="shared" si="4"/>
        <v>0</v>
      </c>
      <c r="H45" s="10">
        <f t="shared" si="4"/>
        <v>0</v>
      </c>
      <c r="J45" s="3">
        <f>J3</f>
        <v>1</v>
      </c>
      <c r="K45">
        <f>J45</f>
        <v>1</v>
      </c>
    </row>
    <row r="46" spans="4:11" x14ac:dyDescent="0.2">
      <c r="D46" t="s">
        <v>5</v>
      </c>
      <c r="E46" s="1">
        <f t="shared" ref="E46:H48" si="5">E29</f>
        <v>-0.5</v>
      </c>
      <c r="F46" s="9">
        <f t="shared" si="5"/>
        <v>1</v>
      </c>
      <c r="G46" s="10">
        <f t="shared" si="5"/>
        <v>0</v>
      </c>
      <c r="H46" s="10">
        <f t="shared" si="5"/>
        <v>0</v>
      </c>
      <c r="J46" s="3">
        <f t="shared" ref="J46:J48" si="6">J4</f>
        <v>2</v>
      </c>
      <c r="K46">
        <f xml:space="preserve"> J46 - E46*K45</f>
        <v>2.5</v>
      </c>
    </row>
    <row r="47" spans="4:11" x14ac:dyDescent="0.2">
      <c r="D47" t="s">
        <v>6</v>
      </c>
      <c r="E47" s="1">
        <f t="shared" si="5"/>
        <v>-0.5</v>
      </c>
      <c r="F47" s="1">
        <f t="shared" si="5"/>
        <v>-0.7142857142857143</v>
      </c>
      <c r="G47" s="9">
        <f t="shared" si="5"/>
        <v>1</v>
      </c>
      <c r="H47" s="10">
        <f t="shared" si="5"/>
        <v>0</v>
      </c>
      <c r="J47" s="3">
        <f t="shared" si="6"/>
        <v>2</v>
      </c>
      <c r="K47">
        <f>J47 - (E47*K45 + F47*K46)</f>
        <v>4.2857142857142856</v>
      </c>
    </row>
    <row r="48" spans="4:11" x14ac:dyDescent="0.2">
      <c r="D48" t="s">
        <v>7</v>
      </c>
      <c r="E48" s="1">
        <f t="shared" si="5"/>
        <v>0</v>
      </c>
      <c r="F48" s="1">
        <f t="shared" si="5"/>
        <v>-0.2857142857142857</v>
      </c>
      <c r="G48" s="1">
        <f>G39/G38</f>
        <v>-1.5833333333333335</v>
      </c>
      <c r="H48" s="9">
        <f t="shared" si="5"/>
        <v>1</v>
      </c>
      <c r="J48" s="3">
        <f t="shared" si="6"/>
        <v>1</v>
      </c>
      <c r="K48">
        <f>J48 - (E48*K45 + F48*K46 + G48*K47)</f>
        <v>8.5</v>
      </c>
    </row>
    <row r="51" spans="4:12" x14ac:dyDescent="0.2">
      <c r="E51" s="6" t="s">
        <v>10</v>
      </c>
      <c r="J51" s="19" t="s">
        <v>19</v>
      </c>
      <c r="K51" s="19"/>
      <c r="L51" s="19"/>
    </row>
    <row r="52" spans="4:12" x14ac:dyDescent="0.2">
      <c r="E52" s="2" t="s">
        <v>3</v>
      </c>
      <c r="F52" s="2"/>
      <c r="G52" s="2"/>
      <c r="H52" s="2"/>
      <c r="J52" s="14" t="s">
        <v>16</v>
      </c>
      <c r="K52" s="14" t="s">
        <v>17</v>
      </c>
      <c r="L52" s="3" t="s">
        <v>18</v>
      </c>
    </row>
    <row r="53" spans="4:12" x14ac:dyDescent="0.2">
      <c r="D53" t="s">
        <v>4</v>
      </c>
      <c r="E53" s="9">
        <v>2</v>
      </c>
      <c r="F53" s="10">
        <v>-1</v>
      </c>
      <c r="G53" s="10">
        <v>-1</v>
      </c>
      <c r="H53" s="10">
        <v>0</v>
      </c>
      <c r="J53" s="18">
        <f>K45</f>
        <v>1</v>
      </c>
      <c r="K53" s="18">
        <f xml:space="preserve"> (J53 - (F53*K54 + G53*K55 + H53*K56))/E53</f>
        <v>-1.9354838709677411</v>
      </c>
      <c r="L53" s="3" cm="1">
        <f t="array" ref="L53:L56">MMULT(E3:H6, K53:K56)</f>
        <v>1.0000000000000004</v>
      </c>
    </row>
    <row r="54" spans="4:12" x14ac:dyDescent="0.2">
      <c r="D54" t="s">
        <v>5</v>
      </c>
      <c r="E54" s="1">
        <f>E37</f>
        <v>0</v>
      </c>
      <c r="F54" s="9">
        <f t="shared" ref="F54:H54" si="7">F37</f>
        <v>3.5</v>
      </c>
      <c r="G54" s="10">
        <f t="shared" si="7"/>
        <v>-2.5</v>
      </c>
      <c r="H54" s="10">
        <f t="shared" si="7"/>
        <v>-1</v>
      </c>
      <c r="J54" s="18">
        <f t="shared" ref="J54:J56" si="8">K46</f>
        <v>2.5</v>
      </c>
      <c r="K54" s="18">
        <f xml:space="preserve"> (J54 - (G54*K55 + H54*K56))/F54</f>
        <v>-2.1612903225806446</v>
      </c>
      <c r="L54" s="3">
        <v>1.9999999999999996</v>
      </c>
    </row>
    <row r="55" spans="4:12" x14ac:dyDescent="0.2">
      <c r="D55" t="s">
        <v>6</v>
      </c>
      <c r="E55" s="1">
        <f>E38</f>
        <v>0</v>
      </c>
      <c r="F55" s="1">
        <f t="shared" ref="F55:H55" si="9">F38</f>
        <v>0</v>
      </c>
      <c r="G55" s="9">
        <f t="shared" si="9"/>
        <v>1.7142857142857142</v>
      </c>
      <c r="H55" s="10">
        <f t="shared" si="9"/>
        <v>-2.7142857142857144</v>
      </c>
      <c r="J55" s="18">
        <f t="shared" si="8"/>
        <v>4.2857142857142856</v>
      </c>
      <c r="K55" s="18">
        <f xml:space="preserve"> (J55 - H55*K56)/G55</f>
        <v>-2.7096774193548381</v>
      </c>
      <c r="L55" s="3">
        <v>1.9999999999999991</v>
      </c>
    </row>
    <row r="56" spans="4:12" x14ac:dyDescent="0.2">
      <c r="D56" t="s">
        <v>7</v>
      </c>
      <c r="E56" s="1">
        <f>E40-L_41*E39</f>
        <v>0</v>
      </c>
      <c r="F56" s="1">
        <f>F39-L_43*F38</f>
        <v>0</v>
      </c>
      <c r="G56" s="1">
        <f>G39-L_43*G38</f>
        <v>0</v>
      </c>
      <c r="H56" s="9">
        <f>H39-L_43*H38</f>
        <v>-2.5833333333333339</v>
      </c>
      <c r="J56" s="18">
        <f t="shared" si="8"/>
        <v>8.5</v>
      </c>
      <c r="K56" s="18">
        <f xml:space="preserve"> J56/H56</f>
        <v>-3.2903225806451606</v>
      </c>
      <c r="L56" s="3">
        <v>0.99999999999999911</v>
      </c>
    </row>
    <row r="58" spans="4:12" ht="17" thickBot="1" x14ac:dyDescent="0.25">
      <c r="D58" s="7"/>
      <c r="E58" s="7"/>
      <c r="F58" s="7"/>
      <c r="G58" s="7"/>
      <c r="H58" s="7"/>
    </row>
    <row r="60" spans="4:12" x14ac:dyDescent="0.2">
      <c r="D60" s="4"/>
      <c r="E60" s="4" t="s">
        <v>11</v>
      </c>
    </row>
    <row r="61" spans="4:12" x14ac:dyDescent="0.2">
      <c r="E61" s="8" t="s">
        <v>12</v>
      </c>
      <c r="F61" s="2"/>
      <c r="G61" s="2"/>
      <c r="H61" s="2"/>
    </row>
    <row r="62" spans="4:12" x14ac:dyDescent="0.2">
      <c r="E62" s="12" cm="1">
        <f t="array" ref="E62:H65">MMULT(E45:H48, E53:H56)</f>
        <v>2</v>
      </c>
      <c r="F62" s="13">
        <v>-1</v>
      </c>
      <c r="G62" s="13">
        <v>-1</v>
      </c>
      <c r="H62" s="13">
        <v>0</v>
      </c>
    </row>
    <row r="63" spans="4:12" x14ac:dyDescent="0.2">
      <c r="E63" s="14">
        <v>-1</v>
      </c>
      <c r="F63" s="12">
        <v>4</v>
      </c>
      <c r="G63" s="13">
        <v>-2</v>
      </c>
      <c r="H63" s="13">
        <v>-1</v>
      </c>
    </row>
    <row r="64" spans="4:12" x14ac:dyDescent="0.2">
      <c r="E64" s="14">
        <v>-1</v>
      </c>
      <c r="F64" s="14">
        <v>-2</v>
      </c>
      <c r="G64" s="12">
        <v>4</v>
      </c>
      <c r="H64" s="13">
        <v>-2</v>
      </c>
    </row>
    <row r="65" spans="5:8" x14ac:dyDescent="0.2">
      <c r="E65" s="14">
        <v>0</v>
      </c>
      <c r="F65" s="14">
        <v>-1</v>
      </c>
      <c r="G65" s="14">
        <v>-2</v>
      </c>
      <c r="H65" s="12">
        <v>2</v>
      </c>
    </row>
    <row r="68" spans="5:8" x14ac:dyDescent="0.2">
      <c r="E6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L_21</vt:lpstr>
      <vt:lpstr>L_31</vt:lpstr>
      <vt:lpstr>L_32</vt:lpstr>
      <vt:lpstr>L_41</vt:lpstr>
      <vt:lpstr>L_42</vt:lpstr>
      <vt:lpstr>L_43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Gosz</dc:creator>
  <cp:lastModifiedBy>Michael Gosz</cp:lastModifiedBy>
  <dcterms:created xsi:type="dcterms:W3CDTF">2026-01-21T19:57:28Z</dcterms:created>
  <dcterms:modified xsi:type="dcterms:W3CDTF">2026-01-21T21:11:12Z</dcterms:modified>
</cp:coreProperties>
</file>