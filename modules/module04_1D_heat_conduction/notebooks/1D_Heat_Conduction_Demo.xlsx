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gosz/Projects/MMAE350/mmae350/modules/module04_1D_heat_conduction/notebooks/"/>
    </mc:Choice>
  </mc:AlternateContent>
  <xr:revisionPtr revIDLastSave="0" documentId="13_ncr:1_{346CB0EB-5C4E-0A44-8674-D0F181B49B2F}" xr6:coauthVersionLast="47" xr6:coauthVersionMax="47" xr10:uidLastSave="{00000000-0000-0000-0000-000000000000}"/>
  <bookViews>
    <workbookView xWindow="10580" yWindow="1460" windowWidth="34220" windowHeight="19880" xr2:uid="{5985A228-FA23-A746-818D-6CB33A3CF953}"/>
  </bookViews>
  <sheets>
    <sheet name="Sheet1" sheetId="1" r:id="rId1"/>
  </sheets>
  <definedNames>
    <definedName name="alpha">Sheet1!$B$8</definedName>
    <definedName name="dt">Sheet1!$B$6</definedName>
    <definedName name="lambda">Sheet1!$B$11</definedName>
    <definedName name="T_0">Sheet1!$B$13</definedName>
    <definedName name="T_5">Sheet1!$B$14</definedName>
    <definedName name="T_initial">Sheet1!$B$15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5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6" i="1"/>
  <c r="K7" i="1"/>
  <c r="K8" i="1"/>
  <c r="K9" i="1"/>
  <c r="K10" i="1"/>
  <c r="K11" i="1"/>
  <c r="K12" i="1"/>
  <c r="K13" i="1"/>
  <c r="K14" i="1"/>
  <c r="K15" i="1"/>
  <c r="K16" i="1"/>
  <c r="K17" i="1"/>
  <c r="K5" i="1"/>
  <c r="K4" i="1"/>
  <c r="G4" i="1"/>
  <c r="H4" i="1"/>
  <c r="I4" i="1"/>
  <c r="J4" i="1"/>
  <c r="F4" i="1"/>
  <c r="E5" i="1" a="1"/>
  <c r="E5" i="1" s="1"/>
  <c r="E6" i="1" s="1" a="1"/>
  <c r="E6" i="1" s="1"/>
  <c r="E7" i="1" s="1" a="1"/>
  <c r="E7" i="1" s="1"/>
  <c r="E8" i="1" s="1" a="1"/>
  <c r="E8" i="1" s="1"/>
  <c r="E9" i="1" s="1" a="1"/>
  <c r="E9" i="1" s="1"/>
  <c r="E10" i="1" s="1" a="1"/>
  <c r="E10" i="1" s="1"/>
  <c r="E11" i="1" s="1" a="1"/>
  <c r="E11" i="1" s="1"/>
  <c r="E12" i="1" s="1" a="1"/>
  <c r="E12" i="1" s="1"/>
  <c r="E13" i="1" s="1" a="1"/>
  <c r="E13" i="1" s="1"/>
  <c r="E14" i="1" s="1" a="1"/>
  <c r="E14" i="1" s="1"/>
  <c r="E15" i="1" s="1" a="1"/>
  <c r="E15" i="1" s="1"/>
  <c r="E16" i="1" s="1" a="1"/>
  <c r="E16" i="1" s="1"/>
  <c r="E17" i="1" s="1" a="1"/>
  <c r="E17" i="1" s="1"/>
  <c r="E18" i="1" s="1" a="1"/>
  <c r="E18" i="1" s="1"/>
  <c r="E19" i="1" s="1" a="1"/>
  <c r="E19" i="1" s="1"/>
  <c r="E20" i="1" s="1" a="1"/>
  <c r="E20" i="1" s="1"/>
  <c r="E21" i="1" s="1" a="1"/>
  <c r="E21" i="1" s="1"/>
  <c r="E22" i="1" s="1" a="1"/>
  <c r="E22" i="1" s="1"/>
  <c r="E23" i="1" s="1" a="1"/>
  <c r="E23" i="1" s="1"/>
  <c r="E24" i="1" s="1" a="1"/>
  <c r="E24" i="1" s="1"/>
  <c r="E25" i="1" s="1" a="1"/>
  <c r="E25" i="1" s="1"/>
  <c r="E26" i="1" s="1" a="1"/>
  <c r="E26" i="1" s="1"/>
  <c r="E27" i="1" s="1" a="1"/>
  <c r="E27" i="1" s="1"/>
  <c r="E28" i="1" s="1" a="1"/>
  <c r="E28" i="1" s="1"/>
  <c r="E29" i="1" s="1" a="1"/>
  <c r="E29" i="1" s="1"/>
  <c r="E30" i="1" s="1" a="1"/>
  <c r="E30" i="1" s="1"/>
  <c r="E31" i="1" s="1" a="1"/>
  <c r="E31" i="1" s="1"/>
  <c r="E32" i="1" s="1" a="1"/>
  <c r="E32" i="1" s="1"/>
  <c r="E33" i="1" s="1" a="1"/>
  <c r="E33" i="1" s="1"/>
  <c r="E34" i="1" s="1" a="1"/>
  <c r="E34" i="1" s="1"/>
  <c r="E35" i="1" s="1" a="1"/>
  <c r="E35" i="1" s="1"/>
  <c r="E36" i="1" s="1" a="1"/>
  <c r="E36" i="1" s="1"/>
  <c r="E37" i="1" s="1" a="1"/>
  <c r="E37" i="1" s="1"/>
  <c r="E38" i="1" s="1" a="1"/>
  <c r="E38" i="1" s="1"/>
  <c r="E39" i="1" s="1" a="1"/>
  <c r="E39" i="1" s="1"/>
  <c r="E40" i="1" s="1" a="1"/>
  <c r="E40" i="1" s="1"/>
  <c r="E41" i="1" s="1" a="1"/>
  <c r="E41" i="1" s="1"/>
  <c r="E42" i="1" s="1" a="1"/>
  <c r="E42" i="1" s="1"/>
  <c r="E43" i="1" s="1" a="1"/>
  <c r="E43" i="1" s="1"/>
  <c r="E44" i="1" s="1" a="1"/>
  <c r="E44" i="1" s="1"/>
  <c r="E45" i="1" s="1" a="1"/>
  <c r="E45" i="1" s="1"/>
  <c r="E46" i="1" s="1" a="1"/>
  <c r="E46" i="1" s="1"/>
  <c r="E47" i="1" s="1" a="1"/>
  <c r="E47" i="1" s="1"/>
  <c r="E48" i="1" s="1" a="1"/>
  <c r="E48" i="1" s="1"/>
  <c r="E49" i="1" s="1" a="1"/>
  <c r="E49" i="1" s="1"/>
  <c r="E50" i="1" s="1" a="1"/>
  <c r="E50" i="1" s="1"/>
  <c r="E51" i="1" s="1" a="1"/>
  <c r="E51" i="1" s="1"/>
  <c r="E52" i="1" s="1" a="1"/>
  <c r="E52" i="1" s="1"/>
  <c r="E53" i="1" s="1" a="1"/>
  <c r="E53" i="1" s="1"/>
  <c r="E54" i="1" s="1" a="1"/>
  <c r="E54" i="1" s="1"/>
  <c r="E55" i="1" s="1" a="1"/>
  <c r="E55" i="1" s="1"/>
  <c r="E56" i="1" s="1" a="1"/>
  <c r="E56" i="1" s="1"/>
  <c r="E57" i="1" s="1" a="1"/>
  <c r="E57" i="1" s="1"/>
  <c r="E58" i="1" s="1" a="1"/>
  <c r="E58" i="1" s="1"/>
  <c r="E59" i="1" s="1" a="1"/>
  <c r="E59" i="1" s="1"/>
  <c r="E60" i="1" s="1" a="1"/>
  <c r="E60" i="1" s="1"/>
  <c r="E61" i="1" s="1" a="1"/>
  <c r="E61" i="1" s="1"/>
  <c r="E62" i="1" s="1" a="1"/>
  <c r="E62" i="1" s="1"/>
  <c r="E63" i="1" s="1" a="1"/>
  <c r="E63" i="1" s="1"/>
  <c r="E64" i="1" s="1" a="1"/>
  <c r="E64" i="1" s="1"/>
  <c r="E65" i="1" s="1" a="1"/>
  <c r="E65" i="1" s="1"/>
  <c r="E66" i="1" s="1" a="1"/>
  <c r="E66" i="1" s="1"/>
  <c r="E67" i="1" s="1" a="1"/>
  <c r="E67" i="1" s="1"/>
  <c r="E68" i="1" s="1" a="1"/>
  <c r="E68" i="1" s="1"/>
  <c r="E69" i="1" s="1" a="1"/>
  <c r="E69" i="1" s="1"/>
  <c r="E70" i="1" s="1" a="1"/>
  <c r="E70" i="1" s="1"/>
  <c r="E71" i="1" s="1" a="1"/>
  <c r="E71" i="1" s="1"/>
  <c r="E72" i="1" s="1" a="1"/>
  <c r="E72" i="1" s="1"/>
  <c r="E73" i="1" s="1" a="1"/>
  <c r="E73" i="1" s="1"/>
  <c r="E74" i="1" s="1" a="1"/>
  <c r="E74" i="1" s="1"/>
  <c r="E75" i="1" s="1" a="1"/>
  <c r="E75" i="1" s="1"/>
  <c r="E76" i="1" s="1" a="1"/>
  <c r="E76" i="1" s="1"/>
  <c r="E77" i="1" s="1" a="1"/>
  <c r="E77" i="1" s="1"/>
  <c r="E78" i="1" s="1" a="1"/>
  <c r="E78" i="1" s="1"/>
  <c r="E79" i="1" s="1" a="1"/>
  <c r="E79" i="1" s="1"/>
  <c r="E80" i="1" s="1" a="1"/>
  <c r="E80" i="1" s="1"/>
  <c r="E81" i="1" s="1" a="1"/>
  <c r="E81" i="1" s="1"/>
  <c r="E82" i="1" s="1" a="1"/>
  <c r="E82" i="1" s="1"/>
  <c r="E83" i="1" s="1" a="1"/>
  <c r="E83" i="1" s="1"/>
  <c r="E84" i="1" s="1" a="1"/>
  <c r="E84" i="1" s="1"/>
  <c r="E85" i="1" s="1" a="1"/>
  <c r="E85" i="1" s="1"/>
  <c r="E86" i="1" s="1" a="1"/>
  <c r="E86" i="1" s="1"/>
  <c r="E87" i="1" s="1" a="1"/>
  <c r="E87" i="1" s="1"/>
  <c r="E88" i="1" s="1" a="1"/>
  <c r="E88" i="1" s="1"/>
  <c r="E89" i="1" s="1" a="1"/>
  <c r="E89" i="1" s="1"/>
  <c r="E90" i="1" s="1" a="1"/>
  <c r="E90" i="1" s="1"/>
  <c r="E91" i="1" s="1" a="1"/>
  <c r="E91" i="1" s="1"/>
  <c r="E92" i="1" s="1" a="1"/>
  <c r="E92" i="1" s="1"/>
  <c r="E93" i="1" s="1" a="1"/>
  <c r="E93" i="1" s="1"/>
  <c r="E94" i="1" s="1" a="1"/>
  <c r="E94" i="1" s="1"/>
  <c r="E95" i="1" s="1" a="1"/>
  <c r="E95" i="1" s="1"/>
  <c r="E96" i="1" s="1" a="1"/>
  <c r="E96" i="1" s="1"/>
  <c r="E97" i="1" s="1" a="1"/>
  <c r="E97" i="1" s="1"/>
  <c r="E98" i="1" s="1" a="1"/>
  <c r="E98" i="1" s="1"/>
  <c r="E99" i="1" s="1" a="1"/>
  <c r="E99" i="1" s="1"/>
  <c r="E100" i="1" s="1" a="1"/>
  <c r="E100" i="1" s="1"/>
  <c r="E101" i="1" s="1" a="1"/>
  <c r="E101" i="1" s="1"/>
  <c r="E102" i="1" s="1" a="1"/>
  <c r="E102" i="1" s="1"/>
  <c r="E103" i="1" s="1" a="1"/>
  <c r="E103" i="1" s="1"/>
  <c r="E104" i="1" s="1" a="1"/>
  <c r="E104" i="1" s="1"/>
  <c r="E105" i="1" s="1" a="1"/>
  <c r="E105" i="1" s="1"/>
  <c r="E106" i="1" s="1" a="1"/>
  <c r="E106" i="1" s="1"/>
  <c r="E107" i="1" s="1" a="1"/>
  <c r="E107" i="1" s="1"/>
  <c r="E108" i="1" s="1" a="1"/>
  <c r="E108" i="1" s="1"/>
  <c r="E109" i="1" s="1" a="1"/>
  <c r="E109" i="1" s="1"/>
  <c r="E110" i="1" s="1" a="1"/>
  <c r="E110" i="1" s="1"/>
  <c r="E111" i="1" s="1" a="1"/>
  <c r="E111" i="1" s="1"/>
  <c r="E112" i="1" s="1" a="1"/>
  <c r="E112" i="1" s="1"/>
  <c r="E113" i="1" s="1" a="1"/>
  <c r="E113" i="1" s="1"/>
  <c r="E114" i="1" s="1" a="1"/>
  <c r="E114" i="1" s="1"/>
  <c r="E115" i="1" s="1" a="1"/>
  <c r="E115" i="1" s="1"/>
  <c r="E116" i="1" s="1" a="1"/>
  <c r="E116" i="1" s="1"/>
  <c r="E117" i="1" s="1" a="1"/>
  <c r="E117" i="1" s="1"/>
  <c r="E118" i="1" s="1" a="1"/>
  <c r="E118" i="1" s="1"/>
  <c r="E119" i="1" s="1" a="1"/>
  <c r="E119" i="1" s="1"/>
  <c r="E120" i="1" s="1" a="1"/>
  <c r="E120" i="1" s="1"/>
  <c r="E121" i="1" s="1" a="1"/>
  <c r="E121" i="1" s="1"/>
  <c r="E122" i="1" s="1" a="1"/>
  <c r="E122" i="1" s="1"/>
  <c r="E123" i="1" s="1" a="1"/>
  <c r="E123" i="1" s="1"/>
  <c r="E124" i="1" s="1" a="1"/>
  <c r="E124" i="1" s="1"/>
  <c r="E125" i="1" s="1" a="1"/>
  <c r="E125" i="1" s="1"/>
  <c r="E126" i="1" s="1" a="1"/>
  <c r="E126" i="1" s="1"/>
  <c r="E127" i="1" s="1" a="1"/>
  <c r="E127" i="1" s="1"/>
  <c r="E128" i="1" s="1" a="1"/>
  <c r="E128" i="1" s="1"/>
  <c r="E129" i="1" s="1" a="1"/>
  <c r="E129" i="1" s="1"/>
  <c r="E130" i="1" s="1" a="1"/>
  <c r="E130" i="1" s="1"/>
  <c r="E131" i="1" s="1" a="1"/>
  <c r="E131" i="1" s="1"/>
  <c r="E132" i="1" s="1" a="1"/>
  <c r="E132" i="1" s="1"/>
  <c r="E133" i="1" s="1" a="1"/>
  <c r="E133" i="1" s="1"/>
  <c r="E134" i="1" s="1" a="1"/>
  <c r="E134" i="1" s="1"/>
  <c r="E135" i="1" s="1" a="1"/>
  <c r="E135" i="1" s="1"/>
  <c r="E136" i="1" s="1" a="1"/>
  <c r="E136" i="1" s="1"/>
  <c r="E137" i="1" s="1" a="1"/>
  <c r="E137" i="1" s="1"/>
  <c r="E138" i="1" s="1" a="1"/>
  <c r="E138" i="1" s="1"/>
  <c r="E139" i="1" s="1" a="1"/>
  <c r="E139" i="1" s="1"/>
  <c r="E140" i="1" s="1" a="1"/>
  <c r="E140" i="1" s="1"/>
  <c r="E141" i="1" s="1" a="1"/>
  <c r="E141" i="1" s="1"/>
  <c r="E142" i="1" s="1" a="1"/>
  <c r="E142" i="1" s="1"/>
  <c r="E143" i="1" s="1" a="1"/>
  <c r="E143" i="1" s="1"/>
  <c r="E144" i="1" s="1" a="1"/>
  <c r="E144" i="1" s="1"/>
  <c r="E145" i="1" s="1" a="1"/>
  <c r="E145" i="1" s="1"/>
  <c r="E146" i="1" s="1" a="1"/>
  <c r="E146" i="1" s="1"/>
  <c r="E147" i="1" s="1" a="1"/>
  <c r="E147" i="1" s="1"/>
  <c r="E148" i="1" s="1" a="1"/>
  <c r="E148" i="1" s="1"/>
  <c r="E149" i="1" s="1" a="1"/>
  <c r="E149" i="1" s="1"/>
  <c r="E150" i="1" s="1" a="1"/>
  <c r="E150" i="1" s="1"/>
  <c r="E151" i="1" s="1" a="1"/>
  <c r="E151" i="1" s="1"/>
  <c r="E152" i="1" s="1" a="1"/>
  <c r="E152" i="1" s="1"/>
  <c r="E153" i="1" s="1" a="1"/>
  <c r="E153" i="1" s="1"/>
  <c r="E154" i="1" s="1" a="1"/>
  <c r="E154" i="1" s="1"/>
  <c r="E155" i="1" s="1" a="1"/>
  <c r="E155" i="1" s="1"/>
  <c r="E156" i="1" s="1" a="1"/>
  <c r="E156" i="1" s="1"/>
  <c r="E157" i="1" s="1" a="1"/>
  <c r="E157" i="1" s="1"/>
  <c r="E158" i="1" s="1" a="1"/>
  <c r="E158" i="1" s="1"/>
  <c r="E159" i="1" s="1" a="1"/>
  <c r="E159" i="1" s="1"/>
  <c r="E160" i="1" s="1" a="1"/>
  <c r="E160" i="1" s="1"/>
  <c r="E161" i="1" s="1" a="1"/>
  <c r="E161" i="1" s="1"/>
  <c r="E162" i="1" s="1" a="1"/>
  <c r="E162" i="1" s="1"/>
  <c r="E163" i="1" s="1" a="1"/>
  <c r="E163" i="1" s="1"/>
  <c r="E164" i="1" s="1" a="1"/>
  <c r="E164" i="1" s="1"/>
  <c r="E165" i="1" s="1" a="1"/>
  <c r="E165" i="1" s="1"/>
  <c r="E166" i="1" s="1" a="1"/>
  <c r="E166" i="1" s="1"/>
  <c r="E167" i="1" s="1" a="1"/>
  <c r="E167" i="1" s="1"/>
  <c r="E168" i="1" s="1" a="1"/>
  <c r="E168" i="1" s="1"/>
  <c r="E169" i="1" s="1" a="1"/>
  <c r="E169" i="1" s="1"/>
  <c r="E170" i="1" s="1" a="1"/>
  <c r="E170" i="1" s="1"/>
  <c r="E171" i="1" s="1" a="1"/>
  <c r="E171" i="1" s="1"/>
  <c r="E172" i="1" s="1" a="1"/>
  <c r="E172" i="1" s="1"/>
  <c r="E173" i="1" s="1" a="1"/>
  <c r="E173" i="1" s="1"/>
  <c r="E174" i="1" s="1" a="1"/>
  <c r="E174" i="1" s="1"/>
  <c r="E175" i="1" s="1" a="1"/>
  <c r="E175" i="1" s="1"/>
  <c r="E176" i="1" s="1" a="1"/>
  <c r="E176" i="1" s="1"/>
  <c r="E177" i="1" s="1" a="1"/>
  <c r="E177" i="1" s="1"/>
  <c r="E178" i="1" s="1" a="1"/>
  <c r="E178" i="1" s="1"/>
  <c r="E179" i="1" s="1" a="1"/>
  <c r="E179" i="1" s="1"/>
  <c r="E180" i="1" s="1" a="1"/>
  <c r="E180" i="1" s="1"/>
  <c r="E181" i="1" s="1" a="1"/>
  <c r="E181" i="1" s="1"/>
  <c r="E182" i="1" s="1" a="1"/>
  <c r="E182" i="1" s="1"/>
  <c r="E183" i="1" s="1" a="1"/>
  <c r="E183" i="1" s="1"/>
  <c r="E184" i="1" s="1" a="1"/>
  <c r="E184" i="1" s="1"/>
  <c r="E185" i="1" s="1" a="1"/>
  <c r="E185" i="1" s="1"/>
  <c r="E186" i="1" s="1" a="1"/>
  <c r="E186" i="1" s="1"/>
  <c r="E187" i="1" s="1" a="1"/>
  <c r="E187" i="1" s="1"/>
  <c r="E188" i="1" s="1" a="1"/>
  <c r="E188" i="1" s="1"/>
  <c r="E189" i="1" s="1" a="1"/>
  <c r="E189" i="1" s="1"/>
  <c r="E190" i="1" s="1" a="1"/>
  <c r="E190" i="1" s="1"/>
  <c r="E191" i="1" s="1" a="1"/>
  <c r="E191" i="1" s="1"/>
  <c r="E192" i="1" s="1" a="1"/>
  <c r="E192" i="1" s="1"/>
  <c r="E193" i="1" s="1" a="1"/>
  <c r="E193" i="1" s="1"/>
  <c r="E194" i="1" s="1" a="1"/>
  <c r="E194" i="1" s="1"/>
  <c r="E195" i="1" s="1" a="1"/>
  <c r="E195" i="1" s="1"/>
  <c r="E196" i="1" s="1" a="1"/>
  <c r="E196" i="1" s="1"/>
  <c r="E197" i="1" s="1" a="1"/>
  <c r="E197" i="1" s="1"/>
  <c r="E198" i="1" s="1" a="1"/>
  <c r="E198" i="1" s="1"/>
  <c r="E199" i="1" s="1" a="1"/>
  <c r="E199" i="1" s="1"/>
  <c r="E200" i="1" s="1" a="1"/>
  <c r="E200" i="1" s="1"/>
  <c r="E201" i="1" s="1" a="1"/>
  <c r="E201" i="1" s="1"/>
  <c r="E202" i="1" s="1" a="1"/>
  <c r="E202" i="1" s="1"/>
  <c r="E203" i="1" s="1" a="1"/>
  <c r="E203" i="1" s="1"/>
  <c r="E204" i="1" s="1" a="1"/>
  <c r="E204" i="1" s="1"/>
  <c r="E205" i="1" s="1" a="1"/>
  <c r="E205" i="1" s="1"/>
  <c r="E206" i="1" s="1" a="1"/>
  <c r="E206" i="1" s="1"/>
  <c r="E207" i="1" s="1" a="1"/>
  <c r="E207" i="1" s="1"/>
  <c r="E208" i="1" s="1" a="1"/>
  <c r="E208" i="1" s="1"/>
  <c r="E209" i="1" s="1" a="1"/>
  <c r="E209" i="1" s="1"/>
  <c r="E210" i="1" s="1" a="1"/>
  <c r="E210" i="1" s="1"/>
  <c r="B8" i="1"/>
  <c r="B11" i="1" l="1"/>
  <c r="G5" i="1" s="1"/>
  <c r="I5" i="1"/>
  <c r="J5" i="1"/>
  <c r="H5" i="1"/>
  <c r="G6" i="1" l="1"/>
  <c r="J6" i="1"/>
  <c r="H6" i="1"/>
  <c r="I6" i="1"/>
  <c r="I7" i="1" l="1"/>
  <c r="H7" i="1"/>
  <c r="J7" i="1"/>
  <c r="J8" i="1" s="1"/>
  <c r="G7" i="1"/>
  <c r="G8" i="1" l="1"/>
  <c r="H8" i="1"/>
  <c r="I8" i="1"/>
  <c r="I9" i="1" l="1"/>
  <c r="H9" i="1"/>
  <c r="J9" i="1"/>
  <c r="J10" i="1" s="1"/>
  <c r="G9" i="1"/>
  <c r="G10" i="1" l="1"/>
  <c r="H10" i="1"/>
  <c r="I10" i="1"/>
  <c r="I11" i="1" l="1"/>
  <c r="H11" i="1"/>
  <c r="J11" i="1"/>
  <c r="J12" i="1" s="1"/>
  <c r="G11" i="1"/>
  <c r="G12" i="1" l="1"/>
  <c r="H12" i="1"/>
  <c r="I12" i="1"/>
  <c r="I13" i="1" s="1"/>
  <c r="H13" i="1" l="1"/>
  <c r="J13" i="1"/>
  <c r="J14" i="1" s="1"/>
  <c r="G13" i="1"/>
  <c r="G14" i="1" s="1"/>
  <c r="H14" i="1" l="1"/>
  <c r="I14" i="1"/>
  <c r="I15" i="1" s="1"/>
  <c r="H15" i="1" l="1"/>
  <c r="J15" i="1"/>
  <c r="J16" i="1" s="1"/>
  <c r="G15" i="1"/>
  <c r="G16" i="1" s="1"/>
  <c r="H16" i="1" l="1"/>
  <c r="I16" i="1"/>
  <c r="I17" i="1" l="1"/>
  <c r="H17" i="1"/>
  <c r="J17" i="1"/>
  <c r="J18" i="1" s="1"/>
  <c r="G17" i="1"/>
  <c r="G18" i="1" l="1"/>
  <c r="H18" i="1"/>
  <c r="I18" i="1"/>
  <c r="I19" i="1" l="1"/>
  <c r="H19" i="1"/>
  <c r="J19" i="1"/>
  <c r="J20" i="1" s="1"/>
  <c r="G19" i="1"/>
  <c r="G20" i="1" s="1"/>
  <c r="H20" i="1" l="1"/>
  <c r="I20" i="1"/>
  <c r="I21" i="1" l="1"/>
  <c r="H21" i="1"/>
  <c r="J21" i="1"/>
  <c r="J22" i="1" s="1"/>
  <c r="G21" i="1"/>
  <c r="G22" i="1" l="1"/>
  <c r="H22" i="1"/>
  <c r="I22" i="1"/>
  <c r="I23" i="1" l="1"/>
  <c r="H23" i="1"/>
  <c r="J23" i="1"/>
  <c r="G23" i="1"/>
  <c r="G24" i="1" l="1"/>
  <c r="J24" i="1"/>
  <c r="I24" i="1"/>
  <c r="H24" i="1"/>
  <c r="H25" i="1" l="1"/>
  <c r="I25" i="1"/>
  <c r="J25" i="1"/>
  <c r="J26" i="1" s="1"/>
  <c r="G25" i="1"/>
  <c r="G26" i="1" l="1"/>
  <c r="I26" i="1"/>
  <c r="H26" i="1"/>
  <c r="H27" i="1" s="1"/>
  <c r="I27" i="1" l="1"/>
  <c r="J27" i="1"/>
  <c r="G27" i="1"/>
  <c r="J28" i="1" l="1"/>
  <c r="G28" i="1"/>
  <c r="I28" i="1"/>
  <c r="H28" i="1"/>
  <c r="H29" i="1" l="1"/>
  <c r="I29" i="1"/>
  <c r="J29" i="1"/>
  <c r="J30" i="1" s="1"/>
  <c r="G29" i="1"/>
  <c r="G30" i="1" l="1"/>
  <c r="I30" i="1"/>
  <c r="H30" i="1"/>
  <c r="H31" i="1" s="1"/>
  <c r="I31" i="1" l="1"/>
  <c r="J31" i="1"/>
  <c r="J32" i="1" s="1"/>
  <c r="G31" i="1"/>
  <c r="G32" i="1" l="1"/>
  <c r="I32" i="1"/>
  <c r="H32" i="1"/>
  <c r="H33" i="1" s="1"/>
  <c r="I33" i="1" l="1"/>
  <c r="J33" i="1"/>
  <c r="G33" i="1"/>
  <c r="J34" i="1" l="1"/>
  <c r="G34" i="1"/>
  <c r="I34" i="1"/>
  <c r="H34" i="1"/>
  <c r="H35" i="1" l="1"/>
  <c r="I35" i="1"/>
  <c r="J35" i="1"/>
  <c r="J36" i="1" s="1"/>
  <c r="G35" i="1"/>
  <c r="G36" i="1" l="1"/>
  <c r="I36" i="1"/>
  <c r="H36" i="1"/>
  <c r="H37" i="1" l="1"/>
  <c r="I37" i="1"/>
  <c r="J37" i="1"/>
  <c r="J38" i="1" s="1"/>
  <c r="G37" i="1"/>
  <c r="G38" i="1" l="1"/>
  <c r="I38" i="1"/>
  <c r="H38" i="1"/>
  <c r="H39" i="1" l="1"/>
  <c r="I39" i="1"/>
  <c r="J39" i="1"/>
  <c r="J40" i="1" s="1"/>
  <c r="G39" i="1"/>
  <c r="G40" i="1" l="1"/>
  <c r="I40" i="1"/>
  <c r="H40" i="1"/>
  <c r="H41" i="1" l="1"/>
  <c r="I41" i="1"/>
  <c r="J41" i="1"/>
  <c r="J42" i="1" s="1"/>
  <c r="G41" i="1"/>
  <c r="G42" i="1" l="1"/>
  <c r="I42" i="1"/>
  <c r="H42" i="1"/>
  <c r="H43" i="1" s="1"/>
  <c r="I43" i="1" l="1"/>
  <c r="J43" i="1"/>
  <c r="G43" i="1"/>
  <c r="J44" i="1" l="1"/>
  <c r="G44" i="1"/>
  <c r="H44" i="1"/>
  <c r="I44" i="1"/>
  <c r="I45" i="1" s="1"/>
  <c r="H45" i="1" l="1"/>
  <c r="J45" i="1"/>
  <c r="J46" i="1" s="1"/>
  <c r="G45" i="1"/>
  <c r="G46" i="1" l="1"/>
  <c r="H46" i="1"/>
  <c r="I46" i="1"/>
  <c r="I47" i="1" l="1"/>
  <c r="H47" i="1"/>
  <c r="J47" i="1"/>
  <c r="J48" i="1" s="1"/>
  <c r="G47" i="1"/>
  <c r="G48" i="1" l="1"/>
  <c r="H48" i="1"/>
  <c r="I48" i="1"/>
  <c r="I49" i="1" l="1"/>
  <c r="H49" i="1"/>
  <c r="J49" i="1"/>
  <c r="J50" i="1" s="1"/>
  <c r="G49" i="1"/>
  <c r="G50" i="1" l="1"/>
  <c r="H50" i="1"/>
  <c r="I50" i="1"/>
  <c r="I51" i="1" l="1"/>
  <c r="H51" i="1"/>
  <c r="J51" i="1"/>
  <c r="J52" i="1" s="1"/>
  <c r="G51" i="1"/>
  <c r="G52" i="1" l="1"/>
  <c r="H52" i="1"/>
  <c r="I52" i="1"/>
  <c r="I53" i="1" l="1"/>
  <c r="H53" i="1"/>
  <c r="J53" i="1"/>
  <c r="I54" i="1" s="1"/>
  <c r="G53" i="1"/>
  <c r="G54" i="1" l="1"/>
  <c r="H54" i="1"/>
  <c r="H55" i="1" s="1"/>
  <c r="J54" i="1"/>
  <c r="I55" i="1" l="1"/>
  <c r="J55" i="1"/>
  <c r="G55" i="1"/>
  <c r="J56" i="1" l="1"/>
  <c r="G56" i="1"/>
  <c r="H56" i="1"/>
  <c r="I56" i="1"/>
  <c r="J57" i="1" l="1"/>
  <c r="I57" i="1"/>
  <c r="H57" i="1"/>
  <c r="G57" i="1"/>
  <c r="G58" i="1" l="1"/>
  <c r="H58" i="1"/>
  <c r="I58" i="1"/>
  <c r="J58" i="1"/>
  <c r="J59" i="1" l="1"/>
  <c r="I59" i="1"/>
  <c r="J60" i="1" s="1"/>
  <c r="H59" i="1"/>
  <c r="G59" i="1"/>
  <c r="G60" i="1" l="1"/>
  <c r="I60" i="1"/>
  <c r="H60" i="1"/>
  <c r="H61" i="1" s="1"/>
  <c r="I61" i="1" l="1"/>
  <c r="G61" i="1"/>
  <c r="J61" i="1"/>
  <c r="J62" i="1" s="1"/>
  <c r="G62" i="1" l="1"/>
  <c r="I62" i="1"/>
  <c r="H62" i="1"/>
  <c r="H63" i="1" l="1"/>
  <c r="I63" i="1"/>
  <c r="G63" i="1"/>
  <c r="J63" i="1"/>
  <c r="J64" i="1" s="1"/>
  <c r="G64" i="1" l="1"/>
  <c r="I64" i="1"/>
  <c r="H64" i="1"/>
  <c r="H65" i="1" l="1"/>
  <c r="I65" i="1"/>
  <c r="G65" i="1"/>
  <c r="J65" i="1"/>
  <c r="J66" i="1" s="1"/>
  <c r="G66" i="1" l="1"/>
  <c r="I66" i="1"/>
  <c r="H66" i="1"/>
  <c r="H67" i="1" l="1"/>
  <c r="I67" i="1"/>
  <c r="G67" i="1"/>
  <c r="J67" i="1"/>
  <c r="J68" i="1" s="1"/>
  <c r="G68" i="1" l="1"/>
  <c r="I68" i="1"/>
  <c r="H68" i="1"/>
  <c r="H69" i="1" l="1"/>
  <c r="I69" i="1"/>
  <c r="G69" i="1"/>
  <c r="J69" i="1"/>
  <c r="J70" i="1" l="1"/>
  <c r="G70" i="1"/>
  <c r="I70" i="1"/>
  <c r="H70" i="1"/>
  <c r="H71" i="1" l="1"/>
  <c r="I71" i="1"/>
  <c r="G71" i="1"/>
  <c r="J71" i="1"/>
  <c r="J72" i="1" s="1"/>
  <c r="G72" i="1" l="1"/>
  <c r="I72" i="1"/>
  <c r="H72" i="1"/>
  <c r="H73" i="1" l="1"/>
  <c r="I73" i="1"/>
  <c r="G73" i="1"/>
  <c r="J73" i="1"/>
  <c r="J74" i="1" s="1"/>
  <c r="G74" i="1" l="1"/>
  <c r="H74" i="1"/>
  <c r="I74" i="1"/>
  <c r="I75" i="1" l="1"/>
  <c r="H75" i="1"/>
  <c r="G75" i="1"/>
  <c r="J75" i="1"/>
  <c r="J76" i="1" s="1"/>
  <c r="G76" i="1" l="1"/>
  <c r="H76" i="1"/>
  <c r="I76" i="1"/>
  <c r="I77" i="1" s="1"/>
  <c r="H77" i="1" l="1"/>
  <c r="G77" i="1"/>
  <c r="J77" i="1"/>
  <c r="J78" i="1" s="1"/>
  <c r="G78" i="1" l="1"/>
  <c r="H78" i="1"/>
  <c r="I78" i="1"/>
  <c r="I79" i="1" l="1"/>
  <c r="J79" i="1"/>
  <c r="J80" i="1" s="1"/>
  <c r="H79" i="1"/>
  <c r="G79" i="1"/>
  <c r="G80" i="1" l="1"/>
  <c r="H80" i="1"/>
  <c r="I80" i="1"/>
  <c r="I81" i="1" l="1"/>
  <c r="J81" i="1"/>
  <c r="H81" i="1"/>
  <c r="G81" i="1"/>
  <c r="J82" i="1" l="1"/>
  <c r="G82" i="1"/>
  <c r="H82" i="1"/>
  <c r="I82" i="1"/>
  <c r="I83" i="1" l="1"/>
  <c r="J83" i="1"/>
  <c r="J84" i="1" s="1"/>
  <c r="H83" i="1"/>
  <c r="G83" i="1"/>
  <c r="G84" i="1" l="1"/>
  <c r="H84" i="1"/>
  <c r="I84" i="1"/>
  <c r="I85" i="1" l="1"/>
  <c r="J85" i="1"/>
  <c r="J86" i="1" s="1"/>
  <c r="H85" i="1"/>
  <c r="G85" i="1"/>
  <c r="G86" i="1" l="1"/>
  <c r="H86" i="1"/>
  <c r="I86" i="1"/>
  <c r="I87" i="1" l="1"/>
  <c r="J87" i="1"/>
  <c r="H87" i="1"/>
  <c r="G87" i="1"/>
  <c r="J88" i="1" l="1"/>
  <c r="G88" i="1"/>
  <c r="H88" i="1"/>
  <c r="I88" i="1"/>
  <c r="I89" i="1" l="1"/>
  <c r="J89" i="1"/>
  <c r="J90" i="1" s="1"/>
  <c r="H89" i="1"/>
  <c r="G89" i="1"/>
  <c r="G90" i="1" l="1"/>
  <c r="H90" i="1"/>
  <c r="I90" i="1"/>
  <c r="I91" i="1" l="1"/>
  <c r="J91" i="1"/>
  <c r="J92" i="1" s="1"/>
  <c r="H91" i="1"/>
  <c r="G91" i="1"/>
  <c r="G92" i="1" l="1"/>
  <c r="H92" i="1"/>
  <c r="I92" i="1"/>
  <c r="I93" i="1" l="1"/>
  <c r="J93" i="1"/>
  <c r="H93" i="1"/>
  <c r="G93" i="1"/>
  <c r="J94" i="1" l="1"/>
  <c r="G94" i="1"/>
  <c r="H94" i="1"/>
  <c r="I94" i="1"/>
  <c r="I95" i="1" l="1"/>
  <c r="J95" i="1"/>
  <c r="H95" i="1"/>
  <c r="G95" i="1"/>
  <c r="J96" i="1" l="1"/>
  <c r="G96" i="1"/>
  <c r="H96" i="1"/>
  <c r="I96" i="1"/>
  <c r="I97" i="1" l="1"/>
  <c r="J97" i="1"/>
  <c r="J98" i="1" s="1"/>
  <c r="H97" i="1"/>
  <c r="G97" i="1"/>
  <c r="G98" i="1" l="1"/>
  <c r="H98" i="1"/>
  <c r="I98" i="1"/>
  <c r="I99" i="1" l="1"/>
  <c r="J99" i="1"/>
  <c r="J100" i="1" s="1"/>
  <c r="H99" i="1"/>
  <c r="G99" i="1"/>
  <c r="G100" i="1" l="1"/>
  <c r="H100" i="1"/>
  <c r="I100" i="1"/>
  <c r="I101" i="1" l="1"/>
  <c r="J101" i="1"/>
  <c r="H101" i="1"/>
  <c r="G101" i="1"/>
  <c r="J102" i="1" l="1"/>
  <c r="G102" i="1"/>
  <c r="H102" i="1"/>
  <c r="I102" i="1"/>
  <c r="I103" i="1" l="1"/>
  <c r="J103" i="1"/>
  <c r="J104" i="1" s="1"/>
  <c r="H103" i="1"/>
  <c r="G103" i="1"/>
  <c r="G104" i="1" l="1"/>
  <c r="H104" i="1"/>
  <c r="I104" i="1"/>
  <c r="I105" i="1" l="1"/>
  <c r="J105" i="1"/>
  <c r="J106" i="1" s="1"/>
  <c r="H105" i="1"/>
  <c r="G105" i="1"/>
  <c r="G106" i="1" l="1"/>
  <c r="H106" i="1"/>
  <c r="I106" i="1"/>
  <c r="I107" i="1" l="1"/>
  <c r="J107" i="1"/>
  <c r="H107" i="1"/>
  <c r="G107" i="1"/>
  <c r="J108" i="1" l="1"/>
  <c r="G108" i="1"/>
  <c r="H108" i="1"/>
  <c r="I108" i="1"/>
  <c r="I109" i="1" l="1"/>
  <c r="J109" i="1"/>
  <c r="J110" i="1" s="1"/>
  <c r="H109" i="1"/>
  <c r="G109" i="1"/>
  <c r="G110" i="1" l="1"/>
  <c r="H110" i="1"/>
  <c r="I110" i="1"/>
  <c r="I111" i="1" l="1"/>
  <c r="J111" i="1"/>
  <c r="H111" i="1"/>
  <c r="G111" i="1"/>
  <c r="J112" i="1" l="1"/>
  <c r="G112" i="1"/>
  <c r="H112" i="1"/>
  <c r="I112" i="1"/>
  <c r="I113" i="1" l="1"/>
  <c r="J113" i="1"/>
  <c r="J114" i="1" s="1"/>
  <c r="H113" i="1"/>
  <c r="G113" i="1"/>
  <c r="G114" i="1" l="1"/>
  <c r="H114" i="1"/>
  <c r="I114" i="1"/>
  <c r="I115" i="1" l="1"/>
  <c r="J115" i="1"/>
  <c r="J116" i="1" s="1"/>
  <c r="H115" i="1"/>
  <c r="G115" i="1"/>
  <c r="G116" i="1" l="1"/>
  <c r="H116" i="1"/>
  <c r="I116" i="1"/>
  <c r="I117" i="1" l="1"/>
  <c r="J117" i="1"/>
  <c r="J118" i="1" s="1"/>
  <c r="H117" i="1"/>
  <c r="G117" i="1"/>
  <c r="G118" i="1" l="1"/>
  <c r="H118" i="1"/>
  <c r="I118" i="1"/>
  <c r="I119" i="1" l="1"/>
  <c r="J119" i="1"/>
  <c r="J120" i="1" s="1"/>
  <c r="H119" i="1"/>
  <c r="G119" i="1"/>
  <c r="G120" i="1" l="1"/>
  <c r="H120" i="1"/>
  <c r="I120" i="1"/>
  <c r="I121" i="1" l="1"/>
  <c r="J121" i="1"/>
  <c r="H121" i="1"/>
  <c r="G121" i="1"/>
  <c r="J122" i="1" l="1"/>
  <c r="G122" i="1"/>
  <c r="H122" i="1"/>
  <c r="I122" i="1"/>
  <c r="I123" i="1" l="1"/>
  <c r="J123" i="1"/>
  <c r="J124" i="1" s="1"/>
  <c r="H123" i="1"/>
  <c r="G123" i="1"/>
  <c r="G124" i="1" l="1"/>
  <c r="H124" i="1"/>
  <c r="I124" i="1"/>
  <c r="I125" i="1" l="1"/>
  <c r="J125" i="1"/>
  <c r="J126" i="1" s="1"/>
  <c r="H125" i="1"/>
  <c r="G125" i="1"/>
  <c r="G126" i="1" l="1"/>
  <c r="H126" i="1"/>
  <c r="I126" i="1"/>
  <c r="I127" i="1" l="1"/>
  <c r="J127" i="1"/>
  <c r="H127" i="1"/>
  <c r="G127" i="1"/>
  <c r="J128" i="1" l="1"/>
  <c r="G128" i="1"/>
  <c r="H128" i="1"/>
  <c r="I128" i="1"/>
  <c r="I129" i="1" l="1"/>
  <c r="J129" i="1"/>
  <c r="H129" i="1"/>
  <c r="G129" i="1"/>
  <c r="J130" i="1" l="1"/>
  <c r="G130" i="1"/>
  <c r="H130" i="1"/>
  <c r="I130" i="1"/>
  <c r="I131" i="1" l="1"/>
  <c r="J131" i="1"/>
  <c r="J132" i="1" s="1"/>
  <c r="H131" i="1"/>
  <c r="G131" i="1"/>
  <c r="G132" i="1" l="1"/>
  <c r="H132" i="1"/>
  <c r="I132" i="1"/>
  <c r="I133" i="1" l="1"/>
  <c r="J133" i="1"/>
  <c r="J134" i="1" s="1"/>
  <c r="H133" i="1"/>
  <c r="G133" i="1"/>
  <c r="G134" i="1" l="1"/>
  <c r="H134" i="1"/>
  <c r="I134" i="1"/>
  <c r="I135" i="1" l="1"/>
  <c r="J135" i="1"/>
  <c r="J136" i="1" s="1"/>
  <c r="H135" i="1"/>
  <c r="G135" i="1"/>
  <c r="G136" i="1" l="1"/>
  <c r="H136" i="1"/>
  <c r="I136" i="1"/>
  <c r="I137" i="1" l="1"/>
  <c r="J137" i="1"/>
  <c r="H137" i="1"/>
  <c r="G137" i="1"/>
  <c r="J138" i="1" l="1"/>
  <c r="G138" i="1"/>
  <c r="H138" i="1"/>
  <c r="I138" i="1"/>
  <c r="I139" i="1" l="1"/>
  <c r="J139" i="1"/>
  <c r="H139" i="1"/>
  <c r="G139" i="1"/>
  <c r="J140" i="1" l="1"/>
  <c r="G140" i="1"/>
  <c r="H140" i="1"/>
  <c r="I140" i="1"/>
  <c r="I141" i="1" l="1"/>
  <c r="J141" i="1"/>
  <c r="J142" i="1" s="1"/>
  <c r="H141" i="1"/>
  <c r="G141" i="1"/>
  <c r="G142" i="1" l="1"/>
  <c r="H142" i="1"/>
  <c r="I142" i="1"/>
  <c r="I143" i="1" l="1"/>
  <c r="J143" i="1"/>
  <c r="J144" i="1" s="1"/>
  <c r="H143" i="1"/>
  <c r="G143" i="1"/>
  <c r="G144" i="1" l="1"/>
  <c r="H144" i="1"/>
  <c r="I144" i="1"/>
  <c r="J145" i="1" l="1"/>
  <c r="I145" i="1"/>
  <c r="H145" i="1"/>
  <c r="G145" i="1"/>
  <c r="G146" i="1" l="1"/>
  <c r="H146" i="1"/>
  <c r="I146" i="1"/>
  <c r="J146" i="1"/>
  <c r="J147" i="1" l="1"/>
  <c r="I147" i="1"/>
  <c r="H147" i="1"/>
  <c r="G147" i="1"/>
  <c r="G148" i="1" l="1"/>
  <c r="H148" i="1"/>
  <c r="I148" i="1"/>
  <c r="J148" i="1"/>
  <c r="J149" i="1" l="1"/>
  <c r="I149" i="1"/>
  <c r="H149" i="1"/>
  <c r="G149" i="1"/>
  <c r="G150" i="1" l="1"/>
  <c r="H150" i="1"/>
  <c r="I150" i="1"/>
  <c r="J150" i="1"/>
  <c r="J151" i="1" l="1"/>
  <c r="I151" i="1"/>
  <c r="H151" i="1"/>
  <c r="G151" i="1"/>
  <c r="G152" i="1" l="1"/>
  <c r="H152" i="1"/>
  <c r="I152" i="1"/>
  <c r="J152" i="1"/>
  <c r="J153" i="1" l="1"/>
  <c r="I153" i="1"/>
  <c r="H153" i="1"/>
  <c r="G153" i="1"/>
  <c r="G154" i="1" l="1"/>
  <c r="H154" i="1"/>
  <c r="I154" i="1"/>
  <c r="J154" i="1"/>
  <c r="J155" i="1" l="1"/>
  <c r="I155" i="1"/>
  <c r="H155" i="1"/>
  <c r="G155" i="1"/>
  <c r="G156" i="1" l="1"/>
  <c r="H156" i="1"/>
  <c r="I156" i="1"/>
  <c r="J156" i="1"/>
  <c r="J157" i="1" l="1"/>
  <c r="I157" i="1"/>
  <c r="H157" i="1"/>
  <c r="G157" i="1"/>
  <c r="G158" i="1" l="1"/>
  <c r="H158" i="1"/>
  <c r="I158" i="1"/>
  <c r="J158" i="1"/>
  <c r="J159" i="1" l="1"/>
  <c r="I159" i="1"/>
  <c r="H159" i="1"/>
  <c r="G159" i="1"/>
  <c r="G160" i="1" l="1"/>
  <c r="H160" i="1"/>
  <c r="I160" i="1"/>
  <c r="J160" i="1"/>
  <c r="J161" i="1" l="1"/>
  <c r="I161" i="1"/>
  <c r="H161" i="1"/>
  <c r="G161" i="1"/>
  <c r="G162" i="1" l="1"/>
  <c r="H162" i="1"/>
  <c r="I162" i="1"/>
  <c r="J162" i="1"/>
  <c r="J163" i="1" s="1"/>
  <c r="I163" i="1" l="1"/>
  <c r="H163" i="1"/>
  <c r="G163" i="1"/>
  <c r="G164" i="1" l="1"/>
  <c r="H164" i="1"/>
  <c r="I164" i="1"/>
  <c r="J164" i="1"/>
  <c r="J165" i="1" l="1"/>
  <c r="I165" i="1"/>
  <c r="H165" i="1"/>
  <c r="G165" i="1"/>
  <c r="G166" i="1" l="1"/>
  <c r="H166" i="1"/>
  <c r="I166" i="1"/>
  <c r="J166" i="1"/>
  <c r="J167" i="1" l="1"/>
  <c r="I167" i="1"/>
  <c r="H167" i="1"/>
  <c r="G167" i="1"/>
  <c r="G168" i="1" l="1"/>
  <c r="H168" i="1"/>
  <c r="I168" i="1"/>
  <c r="J168" i="1"/>
  <c r="J169" i="1" l="1"/>
  <c r="I169" i="1"/>
  <c r="H169" i="1"/>
  <c r="G169" i="1"/>
  <c r="G170" i="1" l="1"/>
  <c r="H170" i="1"/>
  <c r="I170" i="1"/>
  <c r="J170" i="1"/>
  <c r="J171" i="1" l="1"/>
  <c r="I171" i="1"/>
  <c r="H171" i="1"/>
  <c r="G171" i="1"/>
  <c r="G172" i="1" l="1"/>
  <c r="H172" i="1"/>
  <c r="I172" i="1"/>
  <c r="J172" i="1"/>
  <c r="J173" i="1" l="1"/>
  <c r="I173" i="1"/>
  <c r="H173" i="1"/>
  <c r="G173" i="1"/>
  <c r="G174" i="1" l="1"/>
  <c r="H174" i="1"/>
  <c r="I174" i="1"/>
  <c r="J174" i="1"/>
  <c r="J175" i="1" l="1"/>
  <c r="I175" i="1"/>
  <c r="H175" i="1"/>
  <c r="G175" i="1"/>
  <c r="G176" i="1" l="1"/>
  <c r="H176" i="1"/>
  <c r="I176" i="1"/>
  <c r="J176" i="1"/>
  <c r="J177" i="1" s="1"/>
  <c r="I177" i="1" l="1"/>
  <c r="H177" i="1"/>
  <c r="G177" i="1"/>
  <c r="G178" i="1" l="1"/>
  <c r="H178" i="1"/>
  <c r="I178" i="1"/>
  <c r="J178" i="1"/>
  <c r="J179" i="1" s="1"/>
  <c r="I179" i="1" l="1"/>
  <c r="H179" i="1"/>
  <c r="G179" i="1"/>
  <c r="G180" i="1" l="1"/>
  <c r="H180" i="1"/>
  <c r="I180" i="1"/>
  <c r="J180" i="1"/>
  <c r="J181" i="1" l="1"/>
  <c r="I181" i="1"/>
  <c r="H181" i="1"/>
  <c r="G181" i="1"/>
  <c r="G182" i="1" l="1"/>
  <c r="H182" i="1"/>
  <c r="I182" i="1"/>
  <c r="J182" i="1"/>
  <c r="J183" i="1" l="1"/>
  <c r="I183" i="1"/>
  <c r="H183" i="1"/>
  <c r="G183" i="1"/>
  <c r="G184" i="1" l="1"/>
  <c r="H184" i="1"/>
  <c r="I184" i="1"/>
  <c r="J184" i="1"/>
  <c r="J185" i="1" l="1"/>
  <c r="I185" i="1"/>
  <c r="H185" i="1"/>
  <c r="G185" i="1"/>
  <c r="G186" i="1" l="1"/>
  <c r="H186" i="1"/>
  <c r="I186" i="1"/>
  <c r="J186" i="1"/>
  <c r="J187" i="1" l="1"/>
  <c r="I187" i="1"/>
  <c r="H187" i="1"/>
  <c r="G187" i="1"/>
  <c r="G188" i="1" l="1"/>
  <c r="H188" i="1"/>
  <c r="I188" i="1"/>
  <c r="J188" i="1"/>
  <c r="J189" i="1" l="1"/>
  <c r="I189" i="1"/>
  <c r="H189" i="1"/>
  <c r="G189" i="1"/>
  <c r="G190" i="1" l="1"/>
  <c r="H190" i="1"/>
  <c r="I190" i="1"/>
  <c r="J190" i="1"/>
  <c r="J191" i="1" l="1"/>
  <c r="I191" i="1"/>
  <c r="H191" i="1"/>
  <c r="G191" i="1"/>
  <c r="G192" i="1" l="1"/>
  <c r="H192" i="1"/>
  <c r="I192" i="1"/>
  <c r="J192" i="1"/>
  <c r="J193" i="1" s="1"/>
  <c r="I193" i="1" l="1"/>
  <c r="H193" i="1"/>
  <c r="G193" i="1"/>
  <c r="G194" i="1" l="1"/>
  <c r="H194" i="1"/>
  <c r="I194" i="1"/>
  <c r="J194" i="1"/>
  <c r="J195" i="1" l="1"/>
  <c r="I195" i="1"/>
  <c r="H195" i="1"/>
  <c r="G195" i="1"/>
  <c r="G196" i="1" l="1"/>
  <c r="H196" i="1"/>
  <c r="I196" i="1"/>
  <c r="J196" i="1"/>
  <c r="J197" i="1" s="1"/>
  <c r="I197" i="1" l="1"/>
  <c r="H197" i="1"/>
  <c r="G197" i="1"/>
  <c r="G198" i="1" l="1"/>
  <c r="H198" i="1"/>
  <c r="I198" i="1"/>
  <c r="J198" i="1"/>
  <c r="J199" i="1" s="1"/>
  <c r="I199" i="1" l="1"/>
  <c r="H199" i="1"/>
  <c r="G199" i="1"/>
  <c r="G200" i="1" l="1"/>
  <c r="H200" i="1"/>
  <c r="I200" i="1"/>
  <c r="J200" i="1"/>
  <c r="J201" i="1" l="1"/>
  <c r="I201" i="1"/>
  <c r="H201" i="1"/>
  <c r="G201" i="1"/>
  <c r="G202" i="1" l="1"/>
  <c r="H202" i="1"/>
  <c r="I202" i="1"/>
  <c r="J202" i="1"/>
  <c r="J203" i="1" s="1"/>
  <c r="I203" i="1" l="1"/>
  <c r="H203" i="1"/>
  <c r="G203" i="1"/>
  <c r="H204" i="1" l="1"/>
  <c r="G204" i="1"/>
  <c r="I204" i="1"/>
  <c r="J204" i="1"/>
  <c r="J205" i="1" l="1"/>
  <c r="I205" i="1"/>
  <c r="G205" i="1"/>
  <c r="H205" i="1"/>
  <c r="H206" i="1" s="1"/>
  <c r="G206" i="1" l="1"/>
  <c r="I206" i="1"/>
  <c r="J206" i="1"/>
  <c r="J207" i="1" l="1"/>
  <c r="I207" i="1"/>
  <c r="H207" i="1"/>
  <c r="G207" i="1"/>
  <c r="G208" i="1" l="1"/>
  <c r="H208" i="1"/>
  <c r="I208" i="1"/>
  <c r="J208" i="1"/>
  <c r="J209" i="1" s="1"/>
  <c r="I209" i="1" l="1"/>
  <c r="H209" i="1"/>
  <c r="G209" i="1"/>
  <c r="G210" i="1" l="1"/>
  <c r="H210" i="1"/>
  <c r="I210" i="1"/>
  <c r="J2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<sst xmlns="http://schemas.openxmlformats.org/spreadsheetml/2006/main" count="43" uniqueCount="40">
  <si>
    <t>rho</t>
  </si>
  <si>
    <t>cp</t>
  </si>
  <si>
    <t>dt</t>
  </si>
  <si>
    <t>dx</t>
  </si>
  <si>
    <t>alpha</t>
  </si>
  <si>
    <t>k</t>
  </si>
  <si>
    <t>L</t>
  </si>
  <si>
    <t>N</t>
  </si>
  <si>
    <t>lambda</t>
  </si>
  <si>
    <t>x1</t>
  </si>
  <si>
    <t>x0</t>
  </si>
  <si>
    <t>x2</t>
  </si>
  <si>
    <t>x3</t>
  </si>
  <si>
    <t>x4</t>
  </si>
  <si>
    <t>x5</t>
  </si>
  <si>
    <t>T_0</t>
  </si>
  <si>
    <t>T_5</t>
  </si>
  <si>
    <t>time (s)</t>
  </si>
  <si>
    <t>T(x,0)=0</t>
  </si>
  <si>
    <t>1D Transient Heat Conduction FTCS Method</t>
  </si>
  <si>
    <t>mass density</t>
  </si>
  <si>
    <t>thermal conductivity</t>
  </si>
  <si>
    <t>thermal diffusivity</t>
  </si>
  <si>
    <t>Number of grid points</t>
  </si>
  <si>
    <t>Prescribed temperature at x=0</t>
  </si>
  <si>
    <t>Prescribed temperature at x=L</t>
  </si>
  <si>
    <t>Initial condition</t>
  </si>
  <si>
    <t>Diffusion number</t>
  </si>
  <si>
    <t>kg/m^3</t>
  </si>
  <si>
    <t>J/(m . s . K)</t>
  </si>
  <si>
    <t>J/(kg . K)</t>
  </si>
  <si>
    <t>s</t>
  </si>
  <si>
    <t>m</t>
  </si>
  <si>
    <t>time step size</t>
  </si>
  <si>
    <t>grid spacing</t>
  </si>
  <si>
    <t>m^2/s</t>
  </si>
  <si>
    <t>Fin length</t>
  </si>
  <si>
    <t>degrees C or K</t>
  </si>
  <si>
    <t>dimensionless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</si>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</sst>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Sheet1!$F$25:$K$25</c:f>
              <c:numCache>
                <c:formatCode>General</c:formatCode>
                <c:ptCount val="6"/>
                <c:pt idx="0">
                  <c:v>0</c:v>
                </c:pt>
                <c:pt idx="1">
                  <c:v>16.540200058448011</c:v>
                </c:pt>
                <c:pt idx="2">
                  <c:v>34.400988379072338</c:v>
                </c:pt>
                <c:pt idx="3">
                  <c:v>54.39982929188168</c:v>
                </c:pt>
                <c:pt idx="4">
                  <c:v>76.538324615977587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5-0B4E-BFDF-47669A6C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53295"/>
        <c:axId val="152923679"/>
      </c:lineChart>
      <c:catAx>
        <c:axId val="152353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3679"/>
        <c:crosses val="autoZero"/>
        <c:auto val="1"/>
        <c:lblAlgn val="ctr"/>
        <c:lblOffset val="100"/>
        <c:noMultiLvlLbl val="0"/>
      </c:catAx>
      <c:valAx>
        <c:axId val="15292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661620</xdr:colOff>
      <xdr:row>22</xdr:row>
      <xdr:rowOff>34273</xdr:rowOff>
    </xdr:from>
    <xdr:to>
      <xdr:col>12</xdr:col>
      <xdr:colOff>275628</xdr:colOff>
      <xdr:row>35</xdr:row>
      <xdr:rowOff>109919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2A443D-4E8A-DABC-3BBB-D3018CAD4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D79B-EEFE-8540-96AC-147DC9319B8C}">
  <dimension ref="A1:K210"/>
  <sheetViews>
    <sheetView tabSelected="1" zoomScale="229" workbookViewId="0">
      <selection activeCell="B11" sqref="B11"/>
    </sheetView>
  </sheetViews>
  <sheetFormatPr baseColWidth="10" defaultRowHeight="16" x14ac:dyDescent="0.2"/>
  <cols>
    <col min="3" max="3" width="26.1640625" customWidth="1"/>
    <col min="4" max="4" width="20.5" customWidth="1"/>
  </cols>
  <sheetData>
    <row r="1" spans="1:11" x14ac:dyDescent="0.2">
      <c r="A1" s="16" t="s">
        <v>19</v>
      </c>
    </row>
    <row r="2" spans="1:11" ht="17" thickBot="1" x14ac:dyDescent="0.25"/>
    <row r="3" spans="1:11" x14ac:dyDescent="0.2">
      <c r="A3" s="8" t="s">
        <v>0</v>
      </c>
      <c r="B3" s="14">
        <v>8960</v>
      </c>
      <c r="C3" s="14" t="s">
        <v>20</v>
      </c>
      <c r="D3" s="9" t="s">
        <v>28</v>
      </c>
      <c r="E3" t="s">
        <v>17</v>
      </c>
      <c r="F3" t="s">
        <v>10</v>
      </c>
      <c r="G3" t="s">
        <v>9</v>
      </c>
      <c r="H3" t="s">
        <v>11</v>
      </c>
      <c r="I3" t="s">
        <v>12</v>
      </c>
      <c r="J3" t="s">
        <v>13</v>
      </c>
      <c r="K3" s="5" t="s">
        <v>14</v>
      </c>
    </row>
    <row r="4" spans="1:11" x14ac:dyDescent="0.2">
      <c r="A4" s="10" t="s">
        <v>1</v>
      </c>
      <c r="B4">
        <v>385</v>
      </c>
      <c r="D4" s="11" t="s">
        <v>30</v>
      </c>
      <c r="E4">
        <v>0</v>
      </c>
      <c r="F4" s="2">
        <f t="shared" ref="F4:K4" si="0">T_initial</f>
        <v>0</v>
      </c>
      <c r="G4" s="2">
        <f t="shared" si="0"/>
        <v>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6">
        <f t="shared" si="0"/>
        <v>0</v>
      </c>
    </row>
    <row r="5" spans="1:11" x14ac:dyDescent="0.2">
      <c r="A5" s="10" t="s">
        <v>5</v>
      </c>
      <c r="B5">
        <v>400</v>
      </c>
      <c r="C5" t="s">
        <v>21</v>
      </c>
      <c r="D5" s="11" t="s">
        <v>29</v>
      </c>
      <c r="E5" cm="1">
        <f t="array" ref="E5">E4+dt</f>
        <v>100</v>
      </c>
      <c r="F5" s="3">
        <f t="shared" ref="F5:F68" si="1">T_0</f>
        <v>0</v>
      </c>
      <c r="G5" s="1">
        <f>G4+lambda*(H4-2*G4+F4)</f>
        <v>0</v>
      </c>
      <c r="H5" s="1">
        <f t="shared" ref="H5:H68" si="2">H4+lambda*(I4-2*H4+G4)</f>
        <v>0</v>
      </c>
      <c r="I5" s="1">
        <f t="shared" ref="I5:I68" si="3">I4+lambda*(J4-2*I4+H4)</f>
        <v>0</v>
      </c>
      <c r="J5" s="4">
        <f t="shared" ref="J5:J68" si="4">J4+lambda*(K4-2*J4+I4)</f>
        <v>0</v>
      </c>
      <c r="K5" s="7">
        <f t="shared" ref="K5:K68" si="5">T_5</f>
        <v>100</v>
      </c>
    </row>
    <row r="6" spans="1:11" x14ac:dyDescent="0.2">
      <c r="A6" s="10" t="s">
        <v>2</v>
      </c>
      <c r="B6">
        <v>100</v>
      </c>
      <c r="C6" t="s">
        <v>33</v>
      </c>
      <c r="D6" s="11" t="s">
        <v>31</v>
      </c>
      <c r="E6" cm="1">
        <f t="array" ref="E6">E5+dt</f>
        <v>200</v>
      </c>
      <c r="F6" s="3">
        <f t="shared" si="1"/>
        <v>0</v>
      </c>
      <c r="G6" s="1">
        <f t="shared" ref="G6:G68" si="6">G5+lambda*(H5-2*G5+F5)</f>
        <v>0</v>
      </c>
      <c r="H6" s="1">
        <f t="shared" si="2"/>
        <v>0</v>
      </c>
      <c r="I6" s="1">
        <f t="shared" si="3"/>
        <v>0</v>
      </c>
      <c r="J6" s="4">
        <f t="shared" si="4"/>
        <v>28.988868274582558</v>
      </c>
      <c r="K6" s="7">
        <f t="shared" si="5"/>
        <v>100</v>
      </c>
    </row>
    <row r="7" spans="1:11" x14ac:dyDescent="0.2">
      <c r="A7" s="10" t="s">
        <v>3</v>
      </c>
      <c r="B7">
        <f>B9/(B10-1)</f>
        <v>0.2</v>
      </c>
      <c r="C7" t="s">
        <v>34</v>
      </c>
      <c r="D7" s="11" t="s">
        <v>32</v>
      </c>
      <c r="E7" cm="1">
        <f t="array" ref="E7">E6+dt</f>
        <v>300</v>
      </c>
      <c r="F7" s="3">
        <f t="shared" si="1"/>
        <v>0</v>
      </c>
      <c r="G7" s="1">
        <f t="shared" si="6"/>
        <v>0</v>
      </c>
      <c r="H7" s="1">
        <f t="shared" si="2"/>
        <v>0</v>
      </c>
      <c r="I7" s="1">
        <f t="shared" si="3"/>
        <v>8.4035448384109905</v>
      </c>
      <c r="J7" s="4">
        <f t="shared" si="4"/>
        <v>41.170646872343134</v>
      </c>
      <c r="K7" s="7">
        <f t="shared" si="5"/>
        <v>100</v>
      </c>
    </row>
    <row r="8" spans="1:11" x14ac:dyDescent="0.2">
      <c r="A8" s="10" t="s">
        <v>4</v>
      </c>
      <c r="B8">
        <f>B5/(B3*B4)</f>
        <v>1.1595547309833024E-4</v>
      </c>
      <c r="C8" t="s">
        <v>22</v>
      </c>
      <c r="D8" s="11" t="s">
        <v>35</v>
      </c>
      <c r="E8" cm="1">
        <f t="array" ref="E8">E7+dt</f>
        <v>400</v>
      </c>
      <c r="F8" s="3">
        <f t="shared" si="1"/>
        <v>0</v>
      </c>
      <c r="G8" s="1">
        <f t="shared" si="6"/>
        <v>0</v>
      </c>
      <c r="H8" s="1">
        <f t="shared" si="2"/>
        <v>2.4360925436024439</v>
      </c>
      <c r="I8" s="1">
        <f t="shared" si="3"/>
        <v>15.466264340823198</v>
      </c>
      <c r="J8" s="4">
        <f t="shared" si="4"/>
        <v>48.725798511293945</v>
      </c>
      <c r="K8" s="7">
        <f t="shared" si="5"/>
        <v>100</v>
      </c>
    </row>
    <row r="9" spans="1:11" x14ac:dyDescent="0.2">
      <c r="A9" s="10" t="s">
        <v>6</v>
      </c>
      <c r="B9">
        <v>1</v>
      </c>
      <c r="C9" t="s">
        <v>36</v>
      </c>
      <c r="D9" s="11" t="s">
        <v>32</v>
      </c>
      <c r="E9" cm="1">
        <f t="array" ref="E9">E8+dt</f>
        <v>500</v>
      </c>
      <c r="F9" s="3">
        <f t="shared" si="1"/>
        <v>0</v>
      </c>
      <c r="G9" s="1">
        <f t="shared" si="6"/>
        <v>0.70619565851184007</v>
      </c>
      <c r="H9" s="1">
        <f t="shared" si="2"/>
        <v>5.5071962233387346</v>
      </c>
      <c r="I9" s="1">
        <f t="shared" si="3"/>
        <v>21.330527551992606</v>
      </c>
      <c r="J9" s="4">
        <f t="shared" si="4"/>
        <v>53.948046690281451</v>
      </c>
      <c r="K9" s="7">
        <f t="shared" si="5"/>
        <v>100</v>
      </c>
    </row>
    <row r="10" spans="1:11" x14ac:dyDescent="0.2">
      <c r="A10" s="10" t="s">
        <v>7</v>
      </c>
      <c r="B10">
        <v>6</v>
      </c>
      <c r="C10" t="s">
        <v>23</v>
      </c>
      <c r="D10" s="11" t="s">
        <v>39</v>
      </c>
      <c r="E10" cm="1">
        <f t="array" ref="E10">E9+dt</f>
        <v>600</v>
      </c>
      <c r="F10" s="3">
        <f t="shared" si="1"/>
        <v>0</v>
      </c>
      <c r="G10" s="1">
        <f t="shared" si="6"/>
        <v>1.893233258904655</v>
      </c>
      <c r="H10" s="1">
        <f t="shared" si="2"/>
        <v>8.7024451692533269</v>
      </c>
      <c r="I10" s="1">
        <f t="shared" si="3"/>
        <v>26.19897253391369</v>
      </c>
      <c r="J10" s="4">
        <f t="shared" si="4"/>
        <v>57.842537115672712</v>
      </c>
      <c r="K10" s="7">
        <f t="shared" si="5"/>
        <v>100</v>
      </c>
    </row>
    <row r="11" spans="1:11" x14ac:dyDescent="0.2">
      <c r="A11" s="10" t="s">
        <v>8</v>
      </c>
      <c r="B11">
        <f>B8*B6/(B7)^2</f>
        <v>0.28988868274582558</v>
      </c>
      <c r="C11" t="s">
        <v>27</v>
      </c>
      <c r="D11" s="11" t="s">
        <v>38</v>
      </c>
      <c r="E11" cm="1">
        <f t="array" ref="E11">E10+dt</f>
        <v>700</v>
      </c>
      <c r="F11" s="3">
        <f t="shared" si="1"/>
        <v>0</v>
      </c>
      <c r="G11" s="1">
        <f t="shared" si="6"/>
        <v>3.3183198345783609</v>
      </c>
      <c r="H11" s="1">
        <f t="shared" si="2"/>
        <v>11.800576968392846</v>
      </c>
      <c r="I11" s="1">
        <f t="shared" si="3"/>
        <v>30.300038517534588</v>
      </c>
      <c r="J11" s="4">
        <f t="shared" si="4"/>
        <v>60.890397245127801</v>
      </c>
      <c r="K11" s="7">
        <f t="shared" si="5"/>
        <v>100</v>
      </c>
    </row>
    <row r="12" spans="1:11" x14ac:dyDescent="0.2">
      <c r="A12" s="10"/>
      <c r="D12" s="11"/>
      <c r="E12" cm="1">
        <f t="array" ref="E12">E11+dt</f>
        <v>800</v>
      </c>
      <c r="F12" s="3">
        <f t="shared" si="1"/>
        <v>0</v>
      </c>
      <c r="G12" s="1">
        <f t="shared" si="6"/>
        <v>4.8152868160359574</v>
      </c>
      <c r="H12" s="1">
        <f t="shared" si="2"/>
        <v>14.704451161147732</v>
      </c>
      <c r="I12" s="1">
        <f t="shared" si="3"/>
        <v>33.805052773811106</v>
      </c>
      <c r="J12" s="4">
        <f t="shared" si="4"/>
        <v>63.360029674185945</v>
      </c>
      <c r="K12" s="7">
        <f t="shared" si="5"/>
        <v>100</v>
      </c>
    </row>
    <row r="13" spans="1:11" x14ac:dyDescent="0.2">
      <c r="A13" s="10" t="s">
        <v>15</v>
      </c>
      <c r="B13">
        <v>0</v>
      </c>
      <c r="C13" t="s">
        <v>24</v>
      </c>
      <c r="D13" s="11" t="s">
        <v>37</v>
      </c>
      <c r="E13" cm="1">
        <f t="array" ref="E13">E12+dt</f>
        <v>900</v>
      </c>
      <c r="F13" s="3">
        <f t="shared" si="1"/>
        <v>0</v>
      </c>
      <c r="G13" s="1">
        <f t="shared" si="6"/>
        <v>6.2861464893533903</v>
      </c>
      <c r="H13" s="1">
        <f t="shared" si="2"/>
        <v>17.374742576834073</v>
      </c>
      <c r="I13" s="1">
        <f t="shared" si="3"/>
        <v>36.835657854896297</v>
      </c>
      <c r="J13" s="4">
        <f t="shared" si="4"/>
        <v>65.413889085549357</v>
      </c>
      <c r="K13" s="7">
        <f t="shared" si="5"/>
        <v>100</v>
      </c>
    </row>
    <row r="14" spans="1:11" x14ac:dyDescent="0.2">
      <c r="A14" s="10" t="s">
        <v>16</v>
      </c>
      <c r="B14">
        <v>100</v>
      </c>
      <c r="C14" t="s">
        <v>25</v>
      </c>
      <c r="D14" s="11" t="s">
        <v>37</v>
      </c>
      <c r="E14" cm="1">
        <f t="array" ref="E14">E13+dt</f>
        <v>1000</v>
      </c>
      <c r="F14" s="3">
        <f t="shared" si="1"/>
        <v>0</v>
      </c>
      <c r="G14" s="1">
        <f t="shared" si="6"/>
        <v>7.6783222773077302</v>
      </c>
      <c r="H14" s="1">
        <f t="shared" si="2"/>
        <v>19.801783158519353</v>
      </c>
      <c r="I14" s="1">
        <f t="shared" si="3"/>
        <v>39.478664566570359</v>
      </c>
      <c r="J14" s="4">
        <f t="shared" si="4"/>
        <v>67.155505413180848</v>
      </c>
      <c r="K14" s="7">
        <f t="shared" si="5"/>
        <v>100</v>
      </c>
    </row>
    <row r="15" spans="1:11" ht="17" thickBot="1" x14ac:dyDescent="0.25">
      <c r="A15" s="12" t="s">
        <v>18</v>
      </c>
      <c r="B15" s="15">
        <v>0</v>
      </c>
      <c r="C15" s="15" t="s">
        <v>26</v>
      </c>
      <c r="D15" s="13" t="s">
        <v>37</v>
      </c>
      <c r="E15" cm="1">
        <f t="array" ref="E15">E14+dt</f>
        <v>1100</v>
      </c>
      <c r="F15" s="3">
        <f t="shared" si="1"/>
        <v>0</v>
      </c>
      <c r="G15" s="1">
        <f t="shared" si="6"/>
        <v>8.9669176518160469</v>
      </c>
      <c r="H15" s="1">
        <f t="shared" si="2"/>
        <v>21.991434285270103</v>
      </c>
      <c r="I15" s="1">
        <f t="shared" si="3"/>
        <v>41.797762270234401</v>
      </c>
      <c r="J15" s="4">
        <f t="shared" si="4"/>
        <v>68.653549748816474</v>
      </c>
      <c r="K15" s="7">
        <f t="shared" si="5"/>
        <v>100</v>
      </c>
    </row>
    <row r="16" spans="1:11" x14ac:dyDescent="0.2">
      <c r="E16" cm="1">
        <f t="array" ref="E16">E15+dt</f>
        <v>1200</v>
      </c>
      <c r="F16" s="3">
        <f t="shared" si="1"/>
        <v>0</v>
      </c>
      <c r="G16" s="1">
        <f t="shared" si="6"/>
        <v>10.143169675713892</v>
      </c>
      <c r="H16" s="1">
        <f t="shared" si="2"/>
        <v>23.957404644590095</v>
      </c>
      <c r="I16" s="1">
        <f t="shared" si="3"/>
        <v>43.841320796909315</v>
      </c>
      <c r="J16" s="4">
        <f t="shared" si="4"/>
        <v>69.955342064621632</v>
      </c>
      <c r="K16" s="7">
        <f t="shared" si="5"/>
        <v>100</v>
      </c>
    </row>
    <row r="17" spans="5:11" x14ac:dyDescent="0.2">
      <c r="E17" cm="1">
        <f t="array" ref="E17">E16+dt</f>
        <v>1300</v>
      </c>
      <c r="F17" s="3">
        <f t="shared" si="1"/>
        <v>0</v>
      </c>
      <c r="G17" s="1">
        <f t="shared" si="6"/>
        <v>11.207369957822632</v>
      </c>
      <c r="H17" s="1">
        <f t="shared" si="2"/>
        <v>25.716936527545514</v>
      </c>
      <c r="I17" s="1">
        <f t="shared" si="3"/>
        <v>45.64735776217865</v>
      </c>
      <c r="J17" s="4">
        <f t="shared" si="4"/>
        <v>71.094789150563784</v>
      </c>
      <c r="K17" s="7">
        <f t="shared" si="5"/>
        <v>100</v>
      </c>
    </row>
    <row r="18" spans="5:11" x14ac:dyDescent="0.2">
      <c r="E18" cm="1">
        <f t="array" ref="E18">E17+dt</f>
        <v>1400</v>
      </c>
      <c r="F18" s="3">
        <f t="shared" si="1"/>
        <v>0</v>
      </c>
      <c r="G18" s="1">
        <f t="shared" si="6"/>
        <v>12.164639383814123</v>
      </c>
      <c r="H18" s="1">
        <f t="shared" si="2"/>
        <v>27.288380945712913</v>
      </c>
      <c r="I18" s="1">
        <f t="shared" si="3"/>
        <v>47.246676568345158</v>
      </c>
      <c r="J18" s="4">
        <f t="shared" si="4"/>
        <v>72.097160283753453</v>
      </c>
      <c r="K18" s="7">
        <f t="shared" si="5"/>
        <v>100</v>
      </c>
    </row>
    <row r="19" spans="5:11" x14ac:dyDescent="0.2">
      <c r="E19" cm="1">
        <f t="array" ref="E19">E18+dt</f>
        <v>1500</v>
      </c>
      <c r="F19" s="3">
        <f t="shared" si="1"/>
        <v>0</v>
      </c>
      <c r="G19" s="1">
        <f t="shared" si="6"/>
        <v>13.022449616329391</v>
      </c>
      <c r="H19" s="1">
        <f t="shared" si="2"/>
        <v>28.689863454042417</v>
      </c>
      <c r="I19" s="1">
        <f t="shared" si="3"/>
        <v>48.66486653030482</v>
      </c>
      <c r="J19" s="4">
        <f t="shared" si="4"/>
        <v>72.982003744107772</v>
      </c>
      <c r="K19" s="7">
        <f t="shared" si="5"/>
        <v>100</v>
      </c>
    </row>
    <row r="20" spans="5:11" x14ac:dyDescent="0.2">
      <c r="E20" cm="1">
        <f t="array" ref="E20">E19+dt</f>
        <v>1600</v>
      </c>
      <c r="F20" s="3">
        <f t="shared" si="1"/>
        <v>0</v>
      </c>
      <c r="G20" s="1">
        <f t="shared" si="6"/>
        <v>13.789194810376131</v>
      </c>
      <c r="H20" s="1">
        <f t="shared" si="2"/>
        <v>29.938584824215589</v>
      </c>
      <c r="I20" s="1">
        <f t="shared" si="3"/>
        <v>49.923602075742131</v>
      </c>
      <c r="J20" s="4">
        <f t="shared" si="4"/>
        <v>73.764952214101186</v>
      </c>
      <c r="K20" s="7">
        <f t="shared" si="5"/>
        <v>100</v>
      </c>
    </row>
    <row r="21" spans="5:11" x14ac:dyDescent="0.2">
      <c r="E21" cm="1">
        <f t="array" ref="E21">E20+dt</f>
        <v>1700</v>
      </c>
      <c r="F21" s="3">
        <f t="shared" si="1"/>
        <v>0</v>
      </c>
      <c r="G21" s="1">
        <f t="shared" si="6"/>
        <v>14.473388688931131</v>
      </c>
      <c r="H21" s="1">
        <f t="shared" si="2"/>
        <v>31.050489751652709</v>
      </c>
      <c r="I21" s="1">
        <f t="shared" si="3"/>
        <v>51.041509336535412</v>
      </c>
      <c r="J21" s="4">
        <f t="shared" si="4"/>
        <v>74.458858072038268</v>
      </c>
      <c r="K21" s="7">
        <f t="shared" si="5"/>
        <v>100</v>
      </c>
    </row>
    <row r="22" spans="5:11" x14ac:dyDescent="0.2">
      <c r="E22" cm="1">
        <f t="array" ref="E22">E21+dt</f>
        <v>1800</v>
      </c>
      <c r="F22" s="3">
        <f t="shared" si="1"/>
        <v>0</v>
      </c>
      <c r="G22" s="1">
        <f t="shared" si="6"/>
        <v>15.083231097845337</v>
      </c>
      <c r="H22" s="1">
        <f t="shared" si="2"/>
        <v>32.040146095043575</v>
      </c>
      <c r="I22" s="1">
        <f t="shared" si="3"/>
        <v>52.034763380662312</v>
      </c>
      <c r="J22" s="4">
        <f t="shared" si="4"/>
        <v>75.074521683024727</v>
      </c>
      <c r="K22" s="7">
        <f t="shared" si="5"/>
        <v>100</v>
      </c>
    </row>
    <row r="23" spans="5:11" x14ac:dyDescent="0.2">
      <c r="E23" cm="1">
        <f t="array" ref="E23">E22+dt</f>
        <v>1900</v>
      </c>
      <c r="F23" s="3">
        <f t="shared" si="1"/>
        <v>0</v>
      </c>
      <c r="G23" s="1">
        <f t="shared" si="6"/>
        <v>15.626390855310811</v>
      </c>
      <c r="H23" s="1">
        <f t="shared" si="2"/>
        <v>32.920741610007774</v>
      </c>
      <c r="I23" s="1">
        <f t="shared" si="3"/>
        <v>52.917515298781424</v>
      </c>
      <c r="J23" s="4">
        <f t="shared" si="4"/>
        <v>75.621170574088282</v>
      </c>
      <c r="K23" s="7">
        <f t="shared" si="5"/>
        <v>100</v>
      </c>
    </row>
    <row r="24" spans="5:11" x14ac:dyDescent="0.2">
      <c r="E24" cm="1">
        <f t="array" ref="E24">E23+dt</f>
        <v>2000</v>
      </c>
      <c r="F24" s="3">
        <f t="shared" si="1"/>
        <v>0</v>
      </c>
      <c r="G24" s="1">
        <f t="shared" si="6"/>
        <v>16.109913553416721</v>
      </c>
      <c r="H24" s="1">
        <f t="shared" si="2"/>
        <v>33.704143434589376</v>
      </c>
      <c r="I24" s="1">
        <f t="shared" si="3"/>
        <v>53.702209636250466</v>
      </c>
      <c r="J24" s="4">
        <f t="shared" si="4"/>
        <v>76.106784601976983</v>
      </c>
      <c r="K24" s="7">
        <f t="shared" si="5"/>
        <v>100</v>
      </c>
    </row>
    <row r="25" spans="5:11" x14ac:dyDescent="0.2">
      <c r="E25" cm="1">
        <f t="array" ref="E25">E24+dt</f>
        <v>2100</v>
      </c>
      <c r="F25" s="3">
        <f t="shared" si="1"/>
        <v>0</v>
      </c>
      <c r="G25" s="1">
        <f t="shared" si="6"/>
        <v>16.540200058448011</v>
      </c>
      <c r="H25" s="1">
        <f t="shared" si="2"/>
        <v>34.400988379072338</v>
      </c>
      <c r="I25" s="1">
        <f t="shared" si="3"/>
        <v>54.39982929188168</v>
      </c>
      <c r="J25" s="4">
        <f t="shared" si="4"/>
        <v>76.538324615977587</v>
      </c>
      <c r="K25" s="7">
        <f t="shared" si="5"/>
        <v>100</v>
      </c>
    </row>
    <row r="26" spans="5:11" x14ac:dyDescent="0.2">
      <c r="E26" cm="1">
        <f t="array" ref="E26">E25+dt</f>
        <v>2200</v>
      </c>
      <c r="F26" s="3">
        <f t="shared" si="1"/>
        <v>0</v>
      </c>
      <c r="G26" s="1">
        <f t="shared" si="6"/>
        <v>16.923023650219903</v>
      </c>
      <c r="H26" s="1">
        <f t="shared" si="2"/>
        <v>35.020785628662146</v>
      </c>
      <c r="I26" s="1">
        <f t="shared" si="3"/>
        <v>55.020090890700835</v>
      </c>
      <c r="J26" s="4">
        <f t="shared" si="4"/>
        <v>76.92189954058523</v>
      </c>
      <c r="K26" s="7">
        <f t="shared" si="5"/>
        <v>100</v>
      </c>
    </row>
    <row r="27" spans="5:11" x14ac:dyDescent="0.2">
      <c r="E27" cm="1">
        <f t="array" ref="E27">E26+dt</f>
        <v>2300</v>
      </c>
      <c r="F27" s="3">
        <f t="shared" si="1"/>
        <v>0</v>
      </c>
      <c r="G27" s="1">
        <f t="shared" si="6"/>
        <v>17.263566996759312</v>
      </c>
      <c r="H27" s="1">
        <f t="shared" si="2"/>
        <v>35.572021506328092</v>
      </c>
      <c r="I27" s="1">
        <f t="shared" si="3"/>
        <v>55.571605091722894</v>
      </c>
      <c r="J27" s="4">
        <f t="shared" si="4"/>
        <v>77.262893223774697</v>
      </c>
      <c r="K27" s="7">
        <f t="shared" si="5"/>
        <v>100</v>
      </c>
    </row>
    <row r="28" spans="5:11" x14ac:dyDescent="0.2">
      <c r="E28" cm="1">
        <f t="array" ref="E28">E27+dt</f>
        <v>2400</v>
      </c>
      <c r="F28" s="3">
        <f t="shared" si="1"/>
        <v>0</v>
      </c>
      <c r="G28" s="1">
        <f t="shared" si="6"/>
        <v>17.566468061465212</v>
      </c>
      <c r="H28" s="1">
        <f t="shared" si="2"/>
        <v>36.062260686472463</v>
      </c>
      <c r="I28" s="1">
        <f t="shared" si="3"/>
        <v>56.062011094348414</v>
      </c>
      <c r="J28" s="4">
        <f t="shared" si="4"/>
        <v>77.566064212925184</v>
      </c>
      <c r="K28" s="7">
        <f t="shared" si="5"/>
        <v>100</v>
      </c>
    </row>
    <row r="29" spans="5:11" x14ac:dyDescent="0.2">
      <c r="E29" cm="1">
        <f t="array" ref="E29">E28+dt</f>
        <v>2500</v>
      </c>
      <c r="F29" s="3">
        <f t="shared" si="1"/>
        <v>0</v>
      </c>
      <c r="G29" s="1">
        <f t="shared" si="6"/>
        <v>17.835868735033753</v>
      </c>
      <c r="H29" s="1">
        <f t="shared" si="2"/>
        <v>36.498241027053602</v>
      </c>
      <c r="I29" s="1">
        <f t="shared" si="3"/>
        <v>56.49809142560445</v>
      </c>
      <c r="J29" s="4">
        <f t="shared" si="4"/>
        <v>77.83562667480426</v>
      </c>
      <c r="K29" s="7">
        <f t="shared" si="5"/>
        <v>100</v>
      </c>
    </row>
    <row r="30" spans="5:11" x14ac:dyDescent="0.2">
      <c r="E30" cm="1">
        <f t="array" ref="E30">E29+dt</f>
        <v>2600</v>
      </c>
      <c r="F30" s="3">
        <f t="shared" si="1"/>
        <v>0</v>
      </c>
      <c r="G30" s="1">
        <f t="shared" si="6"/>
        <v>18.075462762453192</v>
      </c>
      <c r="H30" s="1">
        <f t="shared" si="2"/>
        <v>36.885960793557253</v>
      </c>
      <c r="I30" s="1">
        <f t="shared" si="3"/>
        <v>56.885871124888126</v>
      </c>
      <c r="J30" s="4">
        <f t="shared" si="4"/>
        <v>78.075317675498809</v>
      </c>
      <c r="K30" s="7">
        <f t="shared" si="5"/>
        <v>100</v>
      </c>
    </row>
    <row r="31" spans="5:11" x14ac:dyDescent="0.2">
      <c r="E31" cm="1">
        <f t="array" ref="E31">E30+dt</f>
        <v>2700</v>
      </c>
      <c r="F31" s="3">
        <f t="shared" si="1"/>
        <v>0</v>
      </c>
      <c r="G31" s="1">
        <f t="shared" si="6"/>
        <v>18.288541168254117</v>
      </c>
      <c r="H31" s="1">
        <f t="shared" si="2"/>
        <v>37.230757958511688</v>
      </c>
      <c r="I31" s="1">
        <f t="shared" si="3"/>
        <v>57.230704212573599</v>
      </c>
      <c r="J31" s="4">
        <f t="shared" si="4"/>
        <v>78.288454205499534</v>
      </c>
      <c r="K31" s="7">
        <f t="shared" si="5"/>
        <v>100</v>
      </c>
    </row>
    <row r="32" spans="5:11" x14ac:dyDescent="0.2">
      <c r="E32" cm="1">
        <f t="array" ref="E32">E31+dt</f>
        <v>2800</v>
      </c>
      <c r="F32" s="3">
        <f t="shared" si="1"/>
        <v>0</v>
      </c>
      <c r="G32" s="1">
        <f t="shared" si="6"/>
        <v>18.478034333259757</v>
      </c>
      <c r="H32" s="1">
        <f t="shared" si="2"/>
        <v>37.537381759475373</v>
      </c>
      <c r="I32" s="1">
        <f t="shared" si="3"/>
        <v>57.537349545036498</v>
      </c>
      <c r="J32" s="4">
        <f t="shared" si="4"/>
        <v>78.477982209202722</v>
      </c>
      <c r="K32" s="7">
        <f t="shared" si="5"/>
        <v>100</v>
      </c>
    </row>
    <row r="33" spans="5:11" x14ac:dyDescent="0.2">
      <c r="E33" cm="1">
        <f t="array" ref="E33">E32+dt</f>
        <v>2900</v>
      </c>
      <c r="F33" s="3">
        <f t="shared" si="1"/>
        <v>0</v>
      </c>
      <c r="G33" s="1">
        <f t="shared" si="6"/>
        <v>18.646550420039631</v>
      </c>
      <c r="H33" s="1">
        <f t="shared" si="2"/>
        <v>37.810056956409944</v>
      </c>
      <c r="I33" s="1">
        <f t="shared" si="3"/>
        <v>57.810037647600595</v>
      </c>
      <c r="J33" s="4">
        <f t="shared" si="4"/>
        <v>78.646519177729814</v>
      </c>
      <c r="K33" s="7">
        <f t="shared" si="5"/>
        <v>100</v>
      </c>
    </row>
    <row r="34" spans="5:11" x14ac:dyDescent="0.2">
      <c r="E34" cm="1">
        <f t="array" ref="E34">E33+dt</f>
        <v>3000</v>
      </c>
      <c r="F34" s="3">
        <f t="shared" si="1"/>
        <v>0</v>
      </c>
      <c r="G34" s="1">
        <f t="shared" si="6"/>
        <v>18.796410147640131</v>
      </c>
      <c r="H34" s="1">
        <f t="shared" si="2"/>
        <v>38.052541347301741</v>
      </c>
      <c r="I34" s="1">
        <f t="shared" si="3"/>
        <v>58.052529773916277</v>
      </c>
      <c r="J34" s="4">
        <f t="shared" si="4"/>
        <v>78.796391421509085</v>
      </c>
      <c r="K34" s="7">
        <f t="shared" si="5"/>
        <v>100</v>
      </c>
    </row>
    <row r="35" spans="5:11" x14ac:dyDescent="0.2">
      <c r="E35" cm="1">
        <f t="array" ref="E35">E34+dt</f>
        <v>3100</v>
      </c>
      <c r="F35" s="3">
        <f t="shared" si="1"/>
        <v>0</v>
      </c>
      <c r="G35" s="1">
        <f t="shared" si="6"/>
        <v>18.929678077841164</v>
      </c>
      <c r="H35" s="1">
        <f t="shared" si="2"/>
        <v>38.268177138974089</v>
      </c>
      <c r="I35" s="1">
        <f t="shared" si="3"/>
        <v>58.268170202075559</v>
      </c>
      <c r="J35" s="4">
        <f t="shared" si="4"/>
        <v>78.92966685370358</v>
      </c>
      <c r="K35" s="7">
        <f t="shared" si="5"/>
        <v>100</v>
      </c>
    </row>
    <row r="36" spans="5:11" x14ac:dyDescent="0.2">
      <c r="E36" cm="1">
        <f t="array" ref="E36">E35+dt</f>
        <v>3200</v>
      </c>
      <c r="F36" s="3">
        <f t="shared" si="1"/>
        <v>0</v>
      </c>
      <c r="G36" s="1">
        <f t="shared" si="6"/>
        <v>19.048190654166465</v>
      </c>
      <c r="H36" s="1">
        <f t="shared" si="2"/>
        <v>38.459936763849015</v>
      </c>
      <c r="I36" s="1">
        <f t="shared" si="3"/>
        <v>58.459932605985159</v>
      </c>
      <c r="J36" s="4">
        <f t="shared" si="4"/>
        <v>79.048183926601425</v>
      </c>
      <c r="K36" s="7">
        <f t="shared" si="5"/>
        <v>100</v>
      </c>
    </row>
    <row r="37" spans="5:11" x14ac:dyDescent="0.2">
      <c r="E37" cm="1">
        <f t="array" ref="E37">E36+dt</f>
        <v>3300</v>
      </c>
      <c r="F37" s="3">
        <f t="shared" si="1"/>
        <v>0</v>
      </c>
      <c r="G37" s="1">
        <f t="shared" si="6"/>
        <v>19.153581266271082</v>
      </c>
      <c r="H37" s="1">
        <f t="shared" si="2"/>
        <v>38.630463703915574</v>
      </c>
      <c r="I37" s="1">
        <f t="shared" si="3"/>
        <v>58.63046121175978</v>
      </c>
      <c r="J37" s="4">
        <f t="shared" si="4"/>
        <v>79.153577233878295</v>
      </c>
      <c r="K37" s="7">
        <f t="shared" si="5"/>
        <v>100</v>
      </c>
    </row>
    <row r="38" spans="5:11" x14ac:dyDescent="0.2">
      <c r="E38" cm="1">
        <f t="array" ref="E38">E37+dt</f>
        <v>3400</v>
      </c>
      <c r="F38" s="3">
        <f t="shared" si="1"/>
        <v>0</v>
      </c>
      <c r="G38" s="1">
        <f t="shared" si="6"/>
        <v>19.247302616970703</v>
      </c>
      <c r="H38" s="1">
        <f t="shared" si="2"/>
        <v>38.782108842540261</v>
      </c>
      <c r="I38" s="1">
        <f t="shared" si="3"/>
        <v>58.782107348782709</v>
      </c>
      <c r="J38" s="4">
        <f t="shared" si="4"/>
        <v>79.24730020002022</v>
      </c>
      <c r="K38" s="7">
        <f t="shared" si="5"/>
        <v>100</v>
      </c>
    </row>
    <row r="39" spans="5:11" x14ac:dyDescent="0.2">
      <c r="E39" cm="1">
        <f t="array" ref="E39">E38+dt</f>
        <v>3500</v>
      </c>
      <c r="F39" s="3">
        <f t="shared" si="1"/>
        <v>0</v>
      </c>
      <c r="G39" s="1">
        <f t="shared" si="6"/>
        <v>19.330646659352098</v>
      </c>
      <c r="H39" s="1">
        <f t="shared" si="2"/>
        <v>38.916962820008052</v>
      </c>
      <c r="I39" s="1">
        <f t="shared" si="3"/>
        <v>58.916961924674133</v>
      </c>
      <c r="J39" s="4">
        <f t="shared" si="4"/>
        <v>79.330645210671392</v>
      </c>
      <c r="K39" s="7">
        <f t="shared" si="5"/>
        <v>100</v>
      </c>
    </row>
    <row r="40" spans="5:11" x14ac:dyDescent="0.2">
      <c r="E40" cm="1">
        <f t="array" ref="E40">E39+dt</f>
        <v>3600</v>
      </c>
      <c r="F40" s="3">
        <f t="shared" si="1"/>
        <v>0</v>
      </c>
      <c r="G40" s="1">
        <f t="shared" si="6"/>
        <v>19.404762354303354</v>
      </c>
      <c r="H40" s="1">
        <f t="shared" si="2"/>
        <v>39.036884823721564</v>
      </c>
      <c r="I40" s="1">
        <f t="shared" si="3"/>
        <v>59.036884287073015</v>
      </c>
      <c r="J40" s="4">
        <f t="shared" si="4"/>
        <v>79.404761485987763</v>
      </c>
      <c r="K40" s="7">
        <f t="shared" si="5"/>
        <v>100</v>
      </c>
    </row>
    <row r="41" spans="5:11" x14ac:dyDescent="0.2">
      <c r="E41" cm="1">
        <f t="array" ref="E41">E40+dt</f>
        <v>3700</v>
      </c>
      <c r="F41" s="3">
        <f t="shared" si="1"/>
        <v>0</v>
      </c>
      <c r="G41" s="1">
        <f t="shared" si="6"/>
        <v>19.47067147858294</v>
      </c>
      <c r="H41" s="1">
        <f t="shared" si="2"/>
        <v>39.143528200905365</v>
      </c>
      <c r="I41" s="1">
        <f t="shared" si="3"/>
        <v>59.143527879246975</v>
      </c>
      <c r="J41" s="4">
        <f t="shared" si="4"/>
        <v>79.470670958128736</v>
      </c>
      <c r="K41" s="7">
        <f t="shared" si="5"/>
        <v>100</v>
      </c>
    </row>
    <row r="42" spans="5:11" x14ac:dyDescent="0.2">
      <c r="E42" cm="1">
        <f t="array" ref="E42">E41+dt</f>
        <v>3800</v>
      </c>
      <c r="F42" s="3">
        <f t="shared" si="1"/>
        <v>0</v>
      </c>
      <c r="G42" s="1">
        <f t="shared" si="6"/>
        <v>19.529282692561225</v>
      </c>
      <c r="H42" s="1">
        <f t="shared" si="2"/>
        <v>39.238363241495342</v>
      </c>
      <c r="I42" s="1">
        <f t="shared" si="3"/>
        <v>59.238363048698552</v>
      </c>
      <c r="J42" s="4">
        <f t="shared" si="4"/>
        <v>79.529282380609459</v>
      </c>
      <c r="K42" s="7">
        <f t="shared" si="5"/>
        <v>100</v>
      </c>
    </row>
    <row r="43" spans="5:11" x14ac:dyDescent="0.2">
      <c r="E43" cm="1">
        <f t="array" ref="E43">E42+dt</f>
        <v>3900</v>
      </c>
      <c r="F43" s="3">
        <f t="shared" si="1"/>
        <v>0</v>
      </c>
      <c r="G43" s="1">
        <f t="shared" si="6"/>
        <v>19.581404056305686</v>
      </c>
      <c r="H43" s="1">
        <f t="shared" si="2"/>
        <v>39.32269744206036</v>
      </c>
      <c r="I43" s="1">
        <f t="shared" si="3"/>
        <v>59.322697326501107</v>
      </c>
      <c r="J43" s="4">
        <f t="shared" si="4"/>
        <v>79.581403869326891</v>
      </c>
      <c r="K43" s="7">
        <f t="shared" si="5"/>
        <v>100</v>
      </c>
    </row>
    <row r="44" spans="5:11" x14ac:dyDescent="0.2">
      <c r="E44" cm="1">
        <f t="array" ref="E44">E43+dt</f>
        <v>4000</v>
      </c>
      <c r="F44" s="3">
        <f t="shared" si="1"/>
        <v>0</v>
      </c>
      <c r="G44" s="1">
        <f t="shared" si="6"/>
        <v>19.627754163404767</v>
      </c>
      <c r="H44" s="1">
        <f t="shared" si="2"/>
        <v>39.397693528182252</v>
      </c>
      <c r="I44" s="1">
        <f t="shared" si="3"/>
        <v>59.397693458917921</v>
      </c>
      <c r="J44" s="4">
        <f t="shared" si="4"/>
        <v>79.62775405133273</v>
      </c>
      <c r="K44" s="7">
        <f t="shared" si="5"/>
        <v>100</v>
      </c>
    </row>
    <row r="45" spans="5:11" x14ac:dyDescent="0.2">
      <c r="E45" cm="1">
        <f t="array" ref="E45">E44+dt</f>
        <v>4100</v>
      </c>
      <c r="F45" s="3">
        <f t="shared" si="1"/>
        <v>0</v>
      </c>
      <c r="G45" s="1">
        <f t="shared" si="6"/>
        <v>19.668972044136655</v>
      </c>
      <c r="H45" s="1">
        <f t="shared" si="2"/>
        <v>39.464385482599631</v>
      </c>
      <c r="I45" s="1">
        <f t="shared" si="3"/>
        <v>59.464385441083721</v>
      </c>
      <c r="J45" s="4">
        <f t="shared" si="4"/>
        <v>79.668971976962496</v>
      </c>
      <c r="K45" s="7">
        <f t="shared" si="5"/>
        <v>100</v>
      </c>
    </row>
    <row r="46" spans="5:11" x14ac:dyDescent="0.2">
      <c r="E46" cm="1">
        <f t="array" ref="E46">E45+dt</f>
        <v>4200</v>
      </c>
      <c r="F46" s="3">
        <f t="shared" si="1"/>
        <v>0</v>
      </c>
      <c r="G46" s="1">
        <f t="shared" si="6"/>
        <v>19.705625973382457</v>
      </c>
      <c r="H46" s="1">
        <f t="shared" si="2"/>
        <v>39.523692799396102</v>
      </c>
      <c r="I46" s="1">
        <f t="shared" si="3"/>
        <v>59.523692774512142</v>
      </c>
      <c r="J46" s="4">
        <f t="shared" si="4"/>
        <v>79.705625933119364</v>
      </c>
      <c r="K46" s="7">
        <f t="shared" si="5"/>
        <v>100</v>
      </c>
    </row>
    <row r="47" spans="5:11" x14ac:dyDescent="0.2">
      <c r="E47" cm="1">
        <f t="array" ref="E47">E46+dt</f>
        <v>4300</v>
      </c>
      <c r="F47" s="3">
        <f t="shared" si="1"/>
        <v>0</v>
      </c>
      <c r="G47" s="1">
        <f t="shared" si="6"/>
        <v>19.738221304038529</v>
      </c>
      <c r="H47" s="1">
        <f t="shared" si="2"/>
        <v>39.576433160337196</v>
      </c>
      <c r="I47" s="1">
        <f t="shared" si="3"/>
        <v>59.576433145422158</v>
      </c>
      <c r="J47" s="4">
        <f t="shared" si="4"/>
        <v>79.738221279905488</v>
      </c>
      <c r="K47" s="7">
        <f t="shared" si="5"/>
        <v>100</v>
      </c>
    </row>
    <row r="48" spans="5:11" x14ac:dyDescent="0.2">
      <c r="E48" cm="1">
        <f t="array" ref="E48">E47+dt</f>
        <v>4400</v>
      </c>
      <c r="F48" s="3">
        <f t="shared" si="1"/>
        <v>0</v>
      </c>
      <c r="G48" s="1">
        <f t="shared" si="6"/>
        <v>19.767207433520248</v>
      </c>
      <c r="H48" s="1">
        <f t="shared" si="2"/>
        <v>39.62333370787497</v>
      </c>
      <c r="I48" s="1">
        <f t="shared" si="3"/>
        <v>59.623333698935134</v>
      </c>
      <c r="J48" s="4">
        <f t="shared" si="4"/>
        <v>79.767207419055296</v>
      </c>
      <c r="K48" s="7">
        <f t="shared" si="5"/>
        <v>100</v>
      </c>
    </row>
    <row r="49" spans="5:11" x14ac:dyDescent="0.2">
      <c r="E49" cm="1">
        <f t="array" ref="E49">E48+dt</f>
        <v>4500</v>
      </c>
      <c r="F49" s="3">
        <f t="shared" si="1"/>
        <v>0</v>
      </c>
      <c r="G49" s="1">
        <f t="shared" si="6"/>
        <v>19.792983999161038</v>
      </c>
      <c r="H49" s="1">
        <f t="shared" si="2"/>
        <v>39.665041070092457</v>
      </c>
      <c r="I49" s="1">
        <f t="shared" si="3"/>
        <v>59.665041064734069</v>
      </c>
      <c r="J49" s="4">
        <f t="shared" si="4"/>
        <v>79.792983990490981</v>
      </c>
      <c r="K49" s="7">
        <f t="shared" si="5"/>
        <v>100</v>
      </c>
    </row>
    <row r="50" spans="5:11" x14ac:dyDescent="0.2">
      <c r="E50" cm="1">
        <f t="array" ref="E50">E49+dt</f>
        <v>4600</v>
      </c>
      <c r="F50" s="3">
        <f t="shared" si="1"/>
        <v>0</v>
      </c>
      <c r="G50" s="1">
        <f t="shared" si="6"/>
        <v>19.815906387777218</v>
      </c>
      <c r="H50" s="1">
        <f t="shared" si="2"/>
        <v>39.702130275713458</v>
      </c>
      <c r="I50" s="1">
        <f t="shared" si="3"/>
        <v>59.702130272501726</v>
      </c>
      <c r="J50" s="4">
        <f t="shared" si="4"/>
        <v>79.815906382580536</v>
      </c>
      <c r="K50" s="7">
        <f t="shared" si="5"/>
        <v>100</v>
      </c>
    </row>
    <row r="51" spans="5:11" x14ac:dyDescent="0.2">
      <c r="E51" cm="1">
        <f t="array" ref="E51">E50+dt</f>
        <v>4700</v>
      </c>
      <c r="F51" s="3">
        <f t="shared" si="1"/>
        <v>0</v>
      </c>
      <c r="G51" s="1">
        <f t="shared" si="6"/>
        <v>19.836290635272295</v>
      </c>
      <c r="H51" s="1">
        <f t="shared" si="2"/>
        <v>39.735112682036515</v>
      </c>
      <c r="I51" s="1">
        <f t="shared" si="3"/>
        <v>59.735112680111463</v>
      </c>
      <c r="J51" s="4">
        <f t="shared" si="4"/>
        <v>79.836290632157485</v>
      </c>
      <c r="K51" s="7">
        <f t="shared" si="5"/>
        <v>100</v>
      </c>
    </row>
    <row r="52" spans="5:11" x14ac:dyDescent="0.2">
      <c r="E52" cm="1">
        <f t="array" ref="E52">E51+dt</f>
        <v>4800</v>
      </c>
      <c r="F52" s="3">
        <f t="shared" si="1"/>
        <v>0</v>
      </c>
      <c r="G52" s="1">
        <f t="shared" si="6"/>
        <v>19.854417783779926</v>
      </c>
      <c r="H52" s="1">
        <f t="shared" si="2"/>
        <v>39.764443025064907</v>
      </c>
      <c r="I52" s="1">
        <f t="shared" si="3"/>
        <v>59.764443023911056</v>
      </c>
      <c r="J52" s="4">
        <f t="shared" si="4"/>
        <v>79.854417781912957</v>
      </c>
      <c r="K52" s="7">
        <f t="shared" si="5"/>
        <v>100</v>
      </c>
    </row>
    <row r="53" spans="5:11" x14ac:dyDescent="0.2">
      <c r="E53" cm="1">
        <f t="array" ref="E53">E52+dt</f>
        <v>4900</v>
      </c>
      <c r="F53" s="3">
        <f t="shared" si="1"/>
        <v>0</v>
      </c>
      <c r="G53" s="1">
        <f t="shared" si="6"/>
        <v>19.870537756386909</v>
      </c>
      <c r="H53" s="1">
        <f t="shared" si="2"/>
        <v>39.790525689014686</v>
      </c>
      <c r="I53" s="1">
        <f t="shared" si="3"/>
        <v>59.790525688323093</v>
      </c>
      <c r="J53" s="4">
        <f t="shared" si="4"/>
        <v>79.870537755267875</v>
      </c>
      <c r="K53" s="7">
        <f t="shared" si="5"/>
        <v>100</v>
      </c>
    </row>
    <row r="54" spans="5:11" x14ac:dyDescent="0.2">
      <c r="E54" cm="1">
        <f t="array" ref="E54">E53+dt</f>
        <v>5000</v>
      </c>
      <c r="F54" s="3">
        <f t="shared" si="1"/>
        <v>0</v>
      </c>
      <c r="G54" s="1">
        <f t="shared" si="6"/>
        <v>19.884872802838924</v>
      </c>
      <c r="H54" s="1">
        <f t="shared" si="2"/>
        <v>39.813720281628505</v>
      </c>
      <c r="I54" s="1">
        <f t="shared" si="3"/>
        <v>59.813720281213975</v>
      </c>
      <c r="J54" s="4">
        <f t="shared" si="4"/>
        <v>79.884872802168189</v>
      </c>
      <c r="K54" s="7">
        <f t="shared" si="5"/>
        <v>100</v>
      </c>
    </row>
    <row r="55" spans="5:11" x14ac:dyDescent="0.2">
      <c r="E55" cm="1">
        <f t="array" ref="E55">E54+dt</f>
        <v>5100</v>
      </c>
      <c r="F55" s="3">
        <f t="shared" si="1"/>
        <v>0</v>
      </c>
      <c r="G55" s="1">
        <f t="shared" si="6"/>
        <v>19.897620563724434</v>
      </c>
      <c r="H55" s="1">
        <f t="shared" si="2"/>
        <v>39.834346592156074</v>
      </c>
      <c r="I55" s="1">
        <f t="shared" si="3"/>
        <v>59.834346591907604</v>
      </c>
      <c r="J55" s="4">
        <f t="shared" si="4"/>
        <v>79.897620563322405</v>
      </c>
      <c r="K55" s="7">
        <f t="shared" si="5"/>
        <v>100</v>
      </c>
    </row>
    <row r="56" spans="5:11" x14ac:dyDescent="0.2">
      <c r="E56" cm="1">
        <f t="array" ref="E56">E55+dt</f>
        <v>5200</v>
      </c>
      <c r="F56" s="3">
        <f t="shared" si="1"/>
        <v>0</v>
      </c>
      <c r="G56" s="1">
        <f t="shared" si="6"/>
        <v>19.908956795376568</v>
      </c>
      <c r="H56" s="1">
        <f t="shared" si="2"/>
        <v>39.852689000354097</v>
      </c>
      <c r="I56" s="1">
        <f t="shared" si="3"/>
        <v>59.852689000205167</v>
      </c>
      <c r="J56" s="4">
        <f t="shared" si="4"/>
        <v>79.908956795135595</v>
      </c>
      <c r="K56" s="7">
        <f t="shared" si="5"/>
        <v>100</v>
      </c>
    </row>
    <row r="57" spans="5:11" x14ac:dyDescent="0.2">
      <c r="E57" cm="1">
        <f t="array" ref="E57">E56+dt</f>
        <v>5300</v>
      </c>
      <c r="F57" s="3">
        <f t="shared" si="1"/>
        <v>0</v>
      </c>
      <c r="G57" s="1">
        <f t="shared" si="6"/>
        <v>19.919037793057736</v>
      </c>
      <c r="H57" s="1">
        <f t="shared" si="2"/>
        <v>39.869000397291003</v>
      </c>
      <c r="I57" s="1">
        <f t="shared" si="3"/>
        <v>59.869000397201731</v>
      </c>
      <c r="J57" s="4">
        <f t="shared" si="4"/>
        <v>79.919037792913301</v>
      </c>
      <c r="K57" s="7">
        <f t="shared" si="5"/>
        <v>100</v>
      </c>
    </row>
    <row r="58" spans="5:11" x14ac:dyDescent="0.2">
      <c r="E58" cm="1">
        <f t="array" ref="E58">E57+dt</f>
        <v>5400</v>
      </c>
      <c r="F58" s="3">
        <f t="shared" si="1"/>
        <v>0</v>
      </c>
      <c r="G58" s="1">
        <f t="shared" si="6"/>
        <v>19.928002545833575</v>
      </c>
      <c r="H58" s="1">
        <f t="shared" si="2"/>
        <v>39.883505672011971</v>
      </c>
      <c r="I58" s="1">
        <f t="shared" si="3"/>
        <v>59.883505671958467</v>
      </c>
      <c r="J58" s="4">
        <f t="shared" si="4"/>
        <v>79.928002545747006</v>
      </c>
      <c r="K58" s="7">
        <f t="shared" si="5"/>
        <v>100</v>
      </c>
    </row>
    <row r="59" spans="5:11" x14ac:dyDescent="0.2">
      <c r="E59" cm="1">
        <f t="array" ref="E59">E58+dt</f>
        <v>5500</v>
      </c>
      <c r="F59" s="3">
        <f t="shared" si="1"/>
        <v>0</v>
      </c>
      <c r="G59" s="1">
        <f t="shared" si="6"/>
        <v>19.935974652844482</v>
      </c>
      <c r="H59" s="1">
        <f t="shared" si="2"/>
        <v>39.896404812134911</v>
      </c>
      <c r="I59" s="1">
        <f t="shared" si="3"/>
        <v>59.896404812102844</v>
      </c>
      <c r="J59" s="4">
        <f t="shared" si="4"/>
        <v>79.935974652792595</v>
      </c>
      <c r="K59" s="7">
        <f t="shared" si="5"/>
        <v>100</v>
      </c>
    </row>
    <row r="60" spans="5:11" x14ac:dyDescent="0.2">
      <c r="E60" cm="1">
        <f t="array" ref="E60">E59+dt</f>
        <v>5600</v>
      </c>
      <c r="F60" s="3">
        <f t="shared" si="1"/>
        <v>0</v>
      </c>
      <c r="G60" s="1">
        <f t="shared" si="6"/>
        <v>19.94306402739398</v>
      </c>
      <c r="H60" s="1">
        <f t="shared" si="2"/>
        <v>39.907875661125374</v>
      </c>
      <c r="I60" s="1">
        <f t="shared" si="3"/>
        <v>59.907875661106154</v>
      </c>
      <c r="J60" s="4">
        <f t="shared" si="4"/>
        <v>79.94306402736288</v>
      </c>
      <c r="K60" s="7">
        <f t="shared" si="5"/>
        <v>100</v>
      </c>
    </row>
    <row r="61" spans="5:11" x14ac:dyDescent="0.2">
      <c r="E61" cm="1">
        <f t="array" ref="E61">E60+dt</f>
        <v>5700</v>
      </c>
      <c r="F61" s="3">
        <f t="shared" si="1"/>
        <v>0</v>
      </c>
      <c r="G61" s="1">
        <f t="shared" si="6"/>
        <v>19.949368412348008</v>
      </c>
      <c r="H61" s="1">
        <f t="shared" si="2"/>
        <v>39.918076370265389</v>
      </c>
      <c r="I61" s="1">
        <f t="shared" si="3"/>
        <v>59.918076370253864</v>
      </c>
      <c r="J61" s="4">
        <f t="shared" si="4"/>
        <v>79.949368412329363</v>
      </c>
      <c r="K61" s="7">
        <f t="shared" si="5"/>
        <v>100</v>
      </c>
    </row>
    <row r="62" spans="5:11" x14ac:dyDescent="0.2">
      <c r="E62" cm="1">
        <f t="array" ref="E62">E61+dt</f>
        <v>5800</v>
      </c>
      <c r="F62" s="3">
        <f t="shared" si="1"/>
        <v>0</v>
      </c>
      <c r="G62" s="1">
        <f t="shared" si="6"/>
        <v>19.954974727738016</v>
      </c>
      <c r="H62" s="1">
        <f t="shared" si="2"/>
        <v>39.927147579121808</v>
      </c>
      <c r="I62" s="1">
        <f t="shared" si="3"/>
        <v>59.927147579114902</v>
      </c>
      <c r="J62" s="4">
        <f t="shared" si="4"/>
        <v>79.954974727726835</v>
      </c>
      <c r="K62" s="7">
        <f t="shared" si="5"/>
        <v>100</v>
      </c>
    </row>
    <row r="63" spans="5:11" x14ac:dyDescent="0.2">
      <c r="E63" cm="1">
        <f t="array" ref="E63">E62+dt</f>
        <v>5900</v>
      </c>
      <c r="F63" s="3">
        <f t="shared" si="1"/>
        <v>0</v>
      </c>
      <c r="G63" s="1">
        <f t="shared" si="6"/>
        <v>19.959960269147391</v>
      </c>
      <c r="H63" s="1">
        <f t="shared" si="2"/>
        <v>39.935214354576729</v>
      </c>
      <c r="I63" s="1">
        <f t="shared" si="3"/>
        <v>59.935214354572587</v>
      </c>
      <c r="J63" s="4">
        <f t="shared" si="4"/>
        <v>79.959960269140694</v>
      </c>
      <c r="K63" s="7">
        <f t="shared" si="5"/>
        <v>100</v>
      </c>
    </row>
    <row r="64" spans="5:11" x14ac:dyDescent="0.2">
      <c r="E64" cm="1">
        <f t="array" ref="E64">E63+dt</f>
        <v>6000</v>
      </c>
      <c r="F64" s="3">
        <f t="shared" si="1"/>
        <v>0</v>
      </c>
      <c r="G64" s="1">
        <f t="shared" si="6"/>
        <v>19.964393773403522</v>
      </c>
      <c r="H64" s="1">
        <f t="shared" si="2"/>
        <v>39.942387915153759</v>
      </c>
      <c r="I64" s="1">
        <f t="shared" si="3"/>
        <v>59.942387915151279</v>
      </c>
      <c r="J64" s="4">
        <f t="shared" si="4"/>
        <v>79.964393773399507</v>
      </c>
      <c r="K64" s="7">
        <f t="shared" si="5"/>
        <v>100</v>
      </c>
    </row>
    <row r="65" spans="5:11" x14ac:dyDescent="0.2">
      <c r="E65" cm="1">
        <f t="array" ref="E65">E64+dt</f>
        <v>6100</v>
      </c>
      <c r="F65" s="3">
        <f t="shared" si="1"/>
        <v>0</v>
      </c>
      <c r="G65" s="1">
        <f t="shared" si="6"/>
        <v>19.96833636626841</v>
      </c>
      <c r="H65" s="1">
        <f t="shared" si="2"/>
        <v>39.948767164413752</v>
      </c>
      <c r="I65" s="1">
        <f t="shared" si="3"/>
        <v>59.948767164412267</v>
      </c>
      <c r="J65" s="4">
        <f t="shared" si="4"/>
        <v>79.968336366266001</v>
      </c>
      <c r="K65" s="7">
        <f t="shared" si="5"/>
        <v>100</v>
      </c>
    </row>
    <row r="66" spans="5:11" x14ac:dyDescent="0.2">
      <c r="E66" cm="1">
        <f t="array" ref="E66">E65+dt</f>
        <v>6200</v>
      </c>
      <c r="F66" s="3">
        <f t="shared" si="1"/>
        <v>0</v>
      </c>
      <c r="G66" s="1">
        <f t="shared" si="6"/>
        <v>19.971842405193772</v>
      </c>
      <c r="H66" s="1">
        <f t="shared" si="2"/>
        <v>39.954440054561353</v>
      </c>
      <c r="I66" s="1">
        <f t="shared" si="3"/>
        <v>59.954440054560465</v>
      </c>
      <c r="J66" s="4">
        <f t="shared" si="4"/>
        <v>79.971842405192334</v>
      </c>
      <c r="K66" s="7">
        <f t="shared" si="5"/>
        <v>100</v>
      </c>
    </row>
    <row r="67" spans="5:11" x14ac:dyDescent="0.2">
      <c r="E67" cm="1">
        <f t="array" ref="E67">E66+dt</f>
        <v>6300</v>
      </c>
      <c r="F67" s="3">
        <f t="shared" si="1"/>
        <v>0</v>
      </c>
      <c r="G67" s="1">
        <f t="shared" si="6"/>
        <v>19.974960228759926</v>
      </c>
      <c r="H67" s="1">
        <f t="shared" si="2"/>
        <v>39.959484799062608</v>
      </c>
      <c r="I67" s="1">
        <f t="shared" si="3"/>
        <v>59.959484799062075</v>
      </c>
      <c r="J67" s="4">
        <f t="shared" si="4"/>
        <v>79.974960228759059</v>
      </c>
      <c r="K67" s="7">
        <f t="shared" si="5"/>
        <v>100</v>
      </c>
    </row>
    <row r="68" spans="5:11" x14ac:dyDescent="0.2">
      <c r="E68" cm="1">
        <f t="array" ref="E68">E67+dt</f>
        <v>6400</v>
      </c>
      <c r="F68" s="3">
        <f t="shared" si="1"/>
        <v>0</v>
      </c>
      <c r="G68" s="1">
        <f t="shared" si="6"/>
        <v>19.977732823131088</v>
      </c>
      <c r="H68" s="1">
        <f t="shared" si="2"/>
        <v>39.963970950992334</v>
      </c>
      <c r="I68" s="1">
        <f t="shared" si="3"/>
        <v>59.963970950992014</v>
      </c>
      <c r="J68" s="4">
        <f t="shared" si="4"/>
        <v>79.977732823130566</v>
      </c>
      <c r="K68" s="7">
        <f t="shared" si="5"/>
        <v>100</v>
      </c>
    </row>
    <row r="69" spans="5:11" x14ac:dyDescent="0.2">
      <c r="E69" cm="1">
        <f t="array" ref="E69">E68+dt</f>
        <v>6500</v>
      </c>
      <c r="F69" s="3">
        <f t="shared" ref="F69:F132" si="7">T_0</f>
        <v>0</v>
      </c>
      <c r="G69" s="1">
        <f t="shared" ref="G69:G132" si="8">G68+lambda*(H68-2*G68+F68)</f>
        <v>19.980198414715666</v>
      </c>
      <c r="H69" s="1">
        <f t="shared" ref="H69:H132" si="9">H68+lambda*(I68-2*H68+G68)</f>
        <v>39.967960361978662</v>
      </c>
      <c r="I69" s="1">
        <f t="shared" ref="I69:I132" si="10">I68+lambda*(J68-2*I68+H68)</f>
        <v>59.96796036197847</v>
      </c>
      <c r="J69" s="4">
        <f t="shared" ref="J69:J132" si="11">J68+lambda*(K68-2*J68+I68)</f>
        <v>79.980198414715346</v>
      </c>
      <c r="K69" s="7">
        <f t="shared" ref="K69:K132" si="12">T_5</f>
        <v>100</v>
      </c>
    </row>
    <row r="70" spans="5:11" x14ac:dyDescent="0.2">
      <c r="E70" cm="1">
        <f t="array" ref="E70">E69+dt</f>
        <v>6600</v>
      </c>
      <c r="F70" s="3">
        <f t="shared" si="7"/>
        <v>0</v>
      </c>
      <c r="G70" s="1">
        <f t="shared" si="8"/>
        <v>19.982390997202717</v>
      </c>
      <c r="H70" s="1">
        <f t="shared" si="9"/>
        <v>39.971508034965908</v>
      </c>
      <c r="I70" s="1">
        <f t="shared" si="10"/>
        <v>59.971508034965794</v>
      </c>
      <c r="J70" s="4">
        <f t="shared" si="11"/>
        <v>79.982390997202529</v>
      </c>
      <c r="K70" s="7">
        <f t="shared" si="12"/>
        <v>100</v>
      </c>
    </row>
    <row r="71" spans="5:11" x14ac:dyDescent="0.2">
      <c r="E71" cm="1">
        <f t="array" ref="E71">E70+dt</f>
        <v>6700</v>
      </c>
      <c r="F71" s="3">
        <f t="shared" si="7"/>
        <v>0</v>
      </c>
      <c r="G71" s="1">
        <f t="shared" si="8"/>
        <v>19.984340800240886</v>
      </c>
      <c r="H71" s="1">
        <f t="shared" si="9"/>
        <v>39.974662882553076</v>
      </c>
      <c r="I71" s="1">
        <f t="shared" si="10"/>
        <v>59.974662882553005</v>
      </c>
      <c r="J71" s="4">
        <f t="shared" si="11"/>
        <v>79.984340800240773</v>
      </c>
      <c r="K71" s="7">
        <f t="shared" si="12"/>
        <v>100</v>
      </c>
    </row>
    <row r="72" spans="5:11" x14ac:dyDescent="0.2">
      <c r="E72" cm="1">
        <f t="array" ref="E72">E71+dt</f>
        <v>6800</v>
      </c>
      <c r="F72" s="3">
        <f t="shared" si="7"/>
        <v>0</v>
      </c>
      <c r="G72" s="1">
        <f t="shared" si="8"/>
        <v>19.986074706221668</v>
      </c>
      <c r="H72" s="1">
        <f t="shared" si="9"/>
        <v>39.977468401363296</v>
      </c>
      <c r="I72" s="1">
        <f t="shared" si="10"/>
        <v>59.977468401363254</v>
      </c>
      <c r="J72" s="4">
        <f t="shared" si="11"/>
        <v>79.986074706221601</v>
      </c>
      <c r="K72" s="7">
        <f t="shared" si="12"/>
        <v>100</v>
      </c>
    </row>
    <row r="73" spans="5:11" x14ac:dyDescent="0.2">
      <c r="E73" cm="1">
        <f t="array" ref="E73">E72+dt</f>
        <v>6900</v>
      </c>
      <c r="F73" s="3">
        <f t="shared" si="7"/>
        <v>0</v>
      </c>
      <c r="G73" s="1">
        <f t="shared" si="8"/>
        <v>19.987616620913215</v>
      </c>
      <c r="H73" s="1">
        <f t="shared" si="9"/>
        <v>39.979963271741987</v>
      </c>
      <c r="I73" s="1">
        <f t="shared" si="10"/>
        <v>59.979963271741958</v>
      </c>
      <c r="J73" s="4">
        <f t="shared" si="11"/>
        <v>79.987616620913172</v>
      </c>
      <c r="K73" s="7">
        <f t="shared" si="12"/>
        <v>100</v>
      </c>
    </row>
    <row r="74" spans="5:11" x14ac:dyDescent="0.2">
      <c r="E74" cm="1">
        <f t="array" ref="E74">E73+dt</f>
        <v>7000</v>
      </c>
      <c r="F74" s="3">
        <f t="shared" si="7"/>
        <v>0</v>
      </c>
      <c r="G74" s="1">
        <f t="shared" si="8"/>
        <v>19.988987803054783</v>
      </c>
      <c r="H74" s="1">
        <f t="shared" si="9"/>
        <v>39.982181891051823</v>
      </c>
      <c r="I74" s="1">
        <f t="shared" si="10"/>
        <v>59.982181891051802</v>
      </c>
      <c r="J74" s="4">
        <f t="shared" si="11"/>
        <v>79.988987803054755</v>
      </c>
      <c r="K74" s="7">
        <f t="shared" si="12"/>
        <v>100</v>
      </c>
    </row>
    <row r="75" spans="5:11" x14ac:dyDescent="0.2">
      <c r="E75" cm="1">
        <f t="array" ref="E75">E74+dt</f>
        <v>7100</v>
      </c>
      <c r="F75" s="3">
        <f t="shared" si="7"/>
        <v>0</v>
      </c>
      <c r="G75" s="1">
        <f t="shared" si="8"/>
        <v>19.990207157455949</v>
      </c>
      <c r="H75" s="1">
        <f t="shared" si="9"/>
        <v>39.984154847917239</v>
      </c>
      <c r="I75" s="1">
        <f t="shared" si="10"/>
        <v>59.984154847917225</v>
      </c>
      <c r="J75" s="4">
        <f t="shared" si="11"/>
        <v>79.990207157455927</v>
      </c>
      <c r="K75" s="7">
        <f t="shared" si="12"/>
        <v>100</v>
      </c>
    </row>
    <row r="76" spans="5:11" x14ac:dyDescent="0.2">
      <c r="E76" cm="1">
        <f t="array" ref="E76">E75+dt</f>
        <v>7200</v>
      </c>
      <c r="F76" s="3">
        <f t="shared" si="7"/>
        <v>0</v>
      </c>
      <c r="G76" s="1">
        <f t="shared" si="8"/>
        <v>19.991291495641633</v>
      </c>
      <c r="H76" s="1">
        <f t="shared" si="9"/>
        <v>39.985909343956983</v>
      </c>
      <c r="I76" s="1">
        <f t="shared" si="10"/>
        <v>59.985909343956976</v>
      </c>
      <c r="J76" s="4">
        <f t="shared" si="11"/>
        <v>79.991291495641619</v>
      </c>
      <c r="K76" s="7">
        <f t="shared" si="12"/>
        <v>100</v>
      </c>
    </row>
    <row r="77" spans="5:11" x14ac:dyDescent="0.2">
      <c r="E77" cm="1">
        <f t="array" ref="E77">E76+dt</f>
        <v>7300</v>
      </c>
      <c r="F77" s="3">
        <f t="shared" si="7"/>
        <v>0</v>
      </c>
      <c r="G77" s="1">
        <f t="shared" si="8"/>
        <v>19.992255767636564</v>
      </c>
      <c r="H77" s="1">
        <f t="shared" si="9"/>
        <v>39.987469568819179</v>
      </c>
      <c r="I77" s="1">
        <f t="shared" si="10"/>
        <v>59.987469568819179</v>
      </c>
      <c r="J77" s="4">
        <f t="shared" si="11"/>
        <v>79.99225576763655</v>
      </c>
      <c r="K77" s="7">
        <f t="shared" si="12"/>
        <v>100</v>
      </c>
    </row>
    <row r="78" spans="5:11" x14ac:dyDescent="0.2">
      <c r="E78" cm="1">
        <f t="array" ref="E78">E77+dt</f>
        <v>7400</v>
      </c>
      <c r="F78" s="3">
        <f t="shared" si="7"/>
        <v>0</v>
      </c>
      <c r="G78" s="1">
        <f t="shared" si="8"/>
        <v>19.993113268084748</v>
      </c>
      <c r="H78" s="1">
        <f t="shared" si="9"/>
        <v>39.988857033689712</v>
      </c>
      <c r="I78" s="1">
        <f t="shared" si="10"/>
        <v>59.988857033689705</v>
      </c>
      <c r="J78" s="4">
        <f t="shared" si="11"/>
        <v>79.993113268084741</v>
      </c>
      <c r="K78" s="7">
        <f t="shared" si="12"/>
        <v>100</v>
      </c>
    </row>
    <row r="79" spans="5:11" x14ac:dyDescent="0.2">
      <c r="E79" cm="1">
        <f t="array" ref="E79">E78+dt</f>
        <v>7500</v>
      </c>
      <c r="F79" s="3">
        <f t="shared" si="7"/>
        <v>0</v>
      </c>
      <c r="G79" s="1">
        <f t="shared" si="8"/>
        <v>19.993875819545849</v>
      </c>
      <c r="H79" s="1">
        <f t="shared" si="9"/>
        <v>39.990090867871942</v>
      </c>
      <c r="I79" s="1">
        <f t="shared" si="10"/>
        <v>59.990090867871942</v>
      </c>
      <c r="J79" s="4">
        <f t="shared" si="11"/>
        <v>79.993875819545849</v>
      </c>
      <c r="K79" s="7">
        <f t="shared" si="12"/>
        <v>100</v>
      </c>
    </row>
    <row r="80" spans="5:11" x14ac:dyDescent="0.2">
      <c r="E80" cm="1">
        <f t="array" ref="E80">E79+dt</f>
        <v>7600</v>
      </c>
      <c r="F80" s="3">
        <f t="shared" si="7"/>
        <v>0</v>
      </c>
      <c r="G80" s="1">
        <f t="shared" si="8"/>
        <v>19.994553935495595</v>
      </c>
      <c r="H80" s="1">
        <f t="shared" si="9"/>
        <v>39.991188082526946</v>
      </c>
      <c r="I80" s="1">
        <f t="shared" si="10"/>
        <v>59.991188082526946</v>
      </c>
      <c r="J80" s="4">
        <f t="shared" si="11"/>
        <v>79.994553935495588</v>
      </c>
      <c r="K80" s="7">
        <f t="shared" si="12"/>
        <v>100</v>
      </c>
    </row>
    <row r="81" spans="5:11" x14ac:dyDescent="0.2">
      <c r="E81" cm="1">
        <f t="array" ref="E81">E80+dt</f>
        <v>7700</v>
      </c>
      <c r="F81" s="3">
        <f t="shared" si="7"/>
        <v>0</v>
      </c>
      <c r="G81" s="1">
        <f t="shared" si="8"/>
        <v>19.995156965277527</v>
      </c>
      <c r="H81" s="1">
        <f t="shared" si="9"/>
        <v>39.992163805210346</v>
      </c>
      <c r="I81" s="1">
        <f t="shared" si="10"/>
        <v>59.992163805210339</v>
      </c>
      <c r="J81" s="4">
        <f t="shared" si="11"/>
        <v>79.995156965277531</v>
      </c>
      <c r="K81" s="7">
        <f t="shared" si="12"/>
        <v>100</v>
      </c>
    </row>
    <row r="82" spans="5:11" x14ac:dyDescent="0.2">
      <c r="E82" cm="1">
        <f t="array" ref="E82">E81+dt</f>
        <v>7800</v>
      </c>
      <c r="F82" s="3">
        <f t="shared" si="7"/>
        <v>0</v>
      </c>
      <c r="G82" s="1">
        <f t="shared" si="8"/>
        <v>19.995693223004594</v>
      </c>
      <c r="H82" s="1">
        <f t="shared" si="9"/>
        <v>39.993031488439463</v>
      </c>
      <c r="I82" s="1">
        <f t="shared" si="10"/>
        <v>59.993031488439463</v>
      </c>
      <c r="J82" s="4">
        <f t="shared" si="11"/>
        <v>79.995693223004594</v>
      </c>
      <c r="K82" s="7">
        <f t="shared" si="12"/>
        <v>100</v>
      </c>
    </row>
    <row r="83" spans="5:11" x14ac:dyDescent="0.2">
      <c r="E83" cm="1">
        <f t="array" ref="E83">E82+dt</f>
        <v>7900</v>
      </c>
      <c r="F83" s="3">
        <f t="shared" si="7"/>
        <v>0</v>
      </c>
      <c r="G83" s="1">
        <f t="shared" si="8"/>
        <v>19.996170102187769</v>
      </c>
      <c r="H83" s="1">
        <f t="shared" si="9"/>
        <v>39.993803095166371</v>
      </c>
      <c r="I83" s="1">
        <f t="shared" si="10"/>
        <v>59.993803095166371</v>
      </c>
      <c r="J83" s="4">
        <f t="shared" si="11"/>
        <v>79.996170102187762</v>
      </c>
      <c r="K83" s="7">
        <f t="shared" si="12"/>
        <v>100</v>
      </c>
    </row>
    <row r="84" spans="5:11" x14ac:dyDescent="0.2">
      <c r="E84" cm="1">
        <f t="array" ref="E84">E83+dt</f>
        <v>8000</v>
      </c>
      <c r="F84" s="3">
        <f t="shared" si="7"/>
        <v>0</v>
      </c>
      <c r="G84" s="1">
        <f t="shared" si="8"/>
        <v>19.996594177672126</v>
      </c>
      <c r="H84" s="1">
        <f t="shared" si="9"/>
        <v>39.994489263713852</v>
      </c>
      <c r="I84" s="1">
        <f t="shared" si="10"/>
        <v>59.994489263713852</v>
      </c>
      <c r="J84" s="4">
        <f t="shared" si="11"/>
        <v>79.996594177672122</v>
      </c>
      <c r="K84" s="7">
        <f t="shared" si="12"/>
        <v>100</v>
      </c>
    </row>
    <row r="85" spans="5:11" x14ac:dyDescent="0.2">
      <c r="E85" cm="1">
        <f t="array" ref="E85">E84+dt</f>
        <v>8100</v>
      </c>
      <c r="F85" s="3">
        <f t="shared" si="7"/>
        <v>0</v>
      </c>
      <c r="G85" s="1">
        <f t="shared" si="8"/>
        <v>19.996971296285761</v>
      </c>
      <c r="H85" s="1">
        <f t="shared" si="9"/>
        <v>39.995099454448507</v>
      </c>
      <c r="I85" s="1">
        <f t="shared" si="10"/>
        <v>59.995099454448507</v>
      </c>
      <c r="J85" s="4">
        <f t="shared" si="11"/>
        <v>79.996971296285764</v>
      </c>
      <c r="K85" s="7">
        <f t="shared" si="12"/>
        <v>100</v>
      </c>
    </row>
    <row r="86" spans="5:11" x14ac:dyDescent="0.2">
      <c r="E86" cm="1">
        <f t="array" ref="E86">E85+dt</f>
        <v>8200</v>
      </c>
      <c r="F86" s="3">
        <f t="shared" si="7"/>
        <v>0</v>
      </c>
      <c r="G86" s="1">
        <f t="shared" si="8"/>
        <v>19.9973066574514</v>
      </c>
      <c r="H86" s="1">
        <f t="shared" si="9"/>
        <v>39.995642080213017</v>
      </c>
      <c r="I86" s="1">
        <f t="shared" si="10"/>
        <v>59.995642080213017</v>
      </c>
      <c r="J86" s="4">
        <f t="shared" si="11"/>
        <v>79.997306657451404</v>
      </c>
      <c r="K86" s="7">
        <f t="shared" si="12"/>
        <v>100</v>
      </c>
    </row>
    <row r="87" spans="5:11" x14ac:dyDescent="0.2">
      <c r="E87" cm="1">
        <f t="array" ref="E87">E86+dt</f>
        <v>8300</v>
      </c>
      <c r="F87" s="3">
        <f t="shared" si="7"/>
        <v>0</v>
      </c>
      <c r="G87" s="1">
        <f t="shared" si="8"/>
        <v>19.997604884872032</v>
      </c>
      <c r="H87" s="1">
        <f t="shared" si="9"/>
        <v>39.996124622315982</v>
      </c>
      <c r="I87" s="1">
        <f t="shared" si="10"/>
        <v>59.996124622315982</v>
      </c>
      <c r="J87" s="4">
        <f t="shared" si="11"/>
        <v>79.997604884872032</v>
      </c>
      <c r="K87" s="7">
        <f t="shared" si="12"/>
        <v>100</v>
      </c>
    </row>
    <row r="88" spans="5:11" x14ac:dyDescent="0.2">
      <c r="E88" cm="1">
        <f t="array" ref="E88">E87+dt</f>
        <v>8400</v>
      </c>
      <c r="F88" s="3">
        <f t="shared" si="7"/>
        <v>0</v>
      </c>
      <c r="G88" s="1">
        <f t="shared" si="8"/>
        <v>19.997870090279012</v>
      </c>
      <c r="H88" s="1">
        <f t="shared" si="9"/>
        <v>39.996553733678475</v>
      </c>
      <c r="I88" s="1">
        <f t="shared" si="10"/>
        <v>59.996553733678475</v>
      </c>
      <c r="J88" s="4">
        <f t="shared" si="11"/>
        <v>79.997870090279008</v>
      </c>
      <c r="K88" s="7">
        <f t="shared" si="12"/>
        <v>100</v>
      </c>
    </row>
    <row r="89" spans="5:11" x14ac:dyDescent="0.2">
      <c r="E89" cm="1">
        <f t="array" ref="E89">E88+dt</f>
        <v>8500</v>
      </c>
      <c r="F89" s="3">
        <f t="shared" si="7"/>
        <v>0</v>
      </c>
      <c r="G89" s="1">
        <f t="shared" si="8"/>
        <v>19.998105930121444</v>
      </c>
      <c r="H89" s="1">
        <f t="shared" si="9"/>
        <v>39.996935330559431</v>
      </c>
      <c r="I89" s="1">
        <f t="shared" si="10"/>
        <v>59.996935330559424</v>
      </c>
      <c r="J89" s="4">
        <f t="shared" si="11"/>
        <v>79.99810593012144</v>
      </c>
      <c r="K89" s="7">
        <f t="shared" si="12"/>
        <v>100</v>
      </c>
    </row>
    <row r="90" spans="5:11" x14ac:dyDescent="0.2">
      <c r="E90" cm="1">
        <f t="array" ref="E90">E89+dt</f>
        <v>8600</v>
      </c>
      <c r="F90" s="3">
        <f t="shared" si="7"/>
        <v>0</v>
      </c>
      <c r="G90" s="1">
        <f t="shared" si="8"/>
        <v>19.998315655978512</v>
      </c>
      <c r="H90" s="1">
        <f t="shared" si="9"/>
        <v>39.997274674124483</v>
      </c>
      <c r="I90" s="1">
        <f t="shared" si="10"/>
        <v>59.997274674124483</v>
      </c>
      <c r="J90" s="4">
        <f t="shared" si="11"/>
        <v>79.998315655978502</v>
      </c>
      <c r="K90" s="7">
        <f t="shared" si="12"/>
        <v>100</v>
      </c>
    </row>
    <row r="91" spans="5:11" x14ac:dyDescent="0.2">
      <c r="E91" cm="1">
        <f t="array" ref="E91">E90+dt</f>
        <v>8700</v>
      </c>
      <c r="F91" s="3">
        <f t="shared" si="7"/>
        <v>0</v>
      </c>
      <c r="G91" s="1">
        <f t="shared" si="8"/>
        <v>19.998502159389766</v>
      </c>
      <c r="H91" s="1">
        <f t="shared" si="9"/>
        <v>39.997576442982911</v>
      </c>
      <c r="I91" s="1">
        <f t="shared" si="10"/>
        <v>59.997576442982904</v>
      </c>
      <c r="J91" s="4">
        <f t="shared" si="11"/>
        <v>79.998502159389759</v>
      </c>
      <c r="K91" s="7">
        <f t="shared" si="12"/>
        <v>100</v>
      </c>
    </row>
    <row r="92" spans="5:11" x14ac:dyDescent="0.2">
      <c r="E92" cm="1">
        <f t="array" ref="E92">E91+dt</f>
        <v>8800</v>
      </c>
      <c r="F92" s="3">
        <f t="shared" si="7"/>
        <v>0</v>
      </c>
      <c r="G92" s="1">
        <f t="shared" si="8"/>
        <v>19.998668011721449</v>
      </c>
      <c r="H92" s="1">
        <f t="shared" si="9"/>
        <v>39.997844797692686</v>
      </c>
      <c r="I92" s="1">
        <f t="shared" si="10"/>
        <v>59.997844797692686</v>
      </c>
      <c r="J92" s="4">
        <f t="shared" si="11"/>
        <v>79.998668011721449</v>
      </c>
      <c r="K92" s="7">
        <f t="shared" si="12"/>
        <v>100</v>
      </c>
    </row>
    <row r="93" spans="5:11" x14ac:dyDescent="0.2">
      <c r="E93" cm="1">
        <f t="array" ref="E93">E92+dt</f>
        <v>8900</v>
      </c>
      <c r="F93" s="3">
        <f t="shared" si="7"/>
        <v>0</v>
      </c>
      <c r="G93" s="1">
        <f t="shared" si="8"/>
        <v>19.998815499618534</v>
      </c>
      <c r="H93" s="1">
        <f t="shared" si="9"/>
        <v>39.998083438123103</v>
      </c>
      <c r="I93" s="1">
        <f t="shared" si="10"/>
        <v>59.998083438123103</v>
      </c>
      <c r="J93" s="4">
        <f t="shared" si="11"/>
        <v>79.99881549961853</v>
      </c>
      <c r="K93" s="7">
        <f t="shared" si="12"/>
        <v>100</v>
      </c>
    </row>
    <row r="94" spans="5:11" x14ac:dyDescent="0.2">
      <c r="E94" cm="1">
        <f t="array" ref="E94">E93+dt</f>
        <v>9000</v>
      </c>
      <c r="F94" s="3">
        <f t="shared" si="7"/>
        <v>0</v>
      </c>
      <c r="G94" s="1">
        <f t="shared" si="8"/>
        <v>19.998946656531231</v>
      </c>
      <c r="H94" s="1">
        <f t="shared" si="9"/>
        <v>39.9982956544657</v>
      </c>
      <c r="I94" s="1">
        <f t="shared" si="10"/>
        <v>59.9982956544657</v>
      </c>
      <c r="J94" s="4">
        <f t="shared" si="11"/>
        <v>79.998946656531231</v>
      </c>
      <c r="K94" s="7">
        <f t="shared" si="12"/>
        <v>100</v>
      </c>
    </row>
    <row r="95" spans="5:11" x14ac:dyDescent="0.2">
      <c r="E95" cm="1">
        <f t="array" ref="E95">E94+dt</f>
        <v>9100</v>
      </c>
      <c r="F95" s="3">
        <f t="shared" si="7"/>
        <v>0</v>
      </c>
      <c r="G95" s="1">
        <f t="shared" si="8"/>
        <v>19.99906329075063</v>
      </c>
      <c r="H95" s="1">
        <f t="shared" si="9"/>
        <v>39.998484372596941</v>
      </c>
      <c r="I95" s="1">
        <f t="shared" si="10"/>
        <v>59.998484372596941</v>
      </c>
      <c r="J95" s="4">
        <f t="shared" si="11"/>
        <v>79.999063290750627</v>
      </c>
      <c r="K95" s="7">
        <f t="shared" si="12"/>
        <v>100</v>
      </c>
    </row>
    <row r="96" spans="5:11" x14ac:dyDescent="0.2">
      <c r="E96" cm="1">
        <f t="array" ref="E96">E95+dt</f>
        <v>9200</v>
      </c>
      <c r="F96" s="3">
        <f t="shared" si="7"/>
        <v>0</v>
      </c>
      <c r="G96" s="1">
        <f t="shared" si="8"/>
        <v>19.999167010340056</v>
      </c>
      <c r="H96" s="1">
        <f t="shared" si="9"/>
        <v>39.998652194417929</v>
      </c>
      <c r="I96" s="1">
        <f t="shared" si="10"/>
        <v>59.998652194417929</v>
      </c>
      <c r="J96" s="4">
        <f t="shared" si="11"/>
        <v>79.999167010340059</v>
      </c>
      <c r="K96" s="7">
        <f t="shared" si="12"/>
        <v>100</v>
      </c>
    </row>
    <row r="97" spans="5:11" x14ac:dyDescent="0.2">
      <c r="E97" cm="1">
        <f t="array" ref="E97">E96+dt</f>
        <v>9300</v>
      </c>
      <c r="F97" s="3">
        <f t="shared" si="7"/>
        <v>0</v>
      </c>
      <c r="G97" s="1">
        <f t="shared" si="8"/>
        <v>19.999259245305797</v>
      </c>
      <c r="H97" s="1">
        <f t="shared" si="9"/>
        <v>39.998801433727451</v>
      </c>
      <c r="I97" s="1">
        <f t="shared" si="10"/>
        <v>59.998801433727451</v>
      </c>
      <c r="J97" s="4">
        <f t="shared" si="11"/>
        <v>79.999259245305794</v>
      </c>
      <c r="K97" s="7">
        <f t="shared" si="12"/>
        <v>100</v>
      </c>
    </row>
    <row r="98" spans="5:11" x14ac:dyDescent="0.2">
      <c r="E98" cm="1">
        <f t="array" ref="E98">E97+dt</f>
        <v>9400</v>
      </c>
      <c r="F98" s="3">
        <f t="shared" si="7"/>
        <v>0</v>
      </c>
      <c r="G98" s="1">
        <f t="shared" si="8"/>
        <v>19.999341267312946</v>
      </c>
      <c r="H98" s="1">
        <f t="shared" si="9"/>
        <v>39.998934148122842</v>
      </c>
      <c r="I98" s="1">
        <f t="shared" si="10"/>
        <v>59.998934148122842</v>
      </c>
      <c r="J98" s="4">
        <f t="shared" si="11"/>
        <v>79.999341267312943</v>
      </c>
      <c r="K98" s="7">
        <f t="shared" si="12"/>
        <v>100</v>
      </c>
    </row>
    <row r="99" spans="5:11" x14ac:dyDescent="0.2">
      <c r="E99" cm="1">
        <f t="array" ref="E99">E98+dt</f>
        <v>9500</v>
      </c>
      <c r="F99" s="3">
        <f t="shared" si="7"/>
        <v>0</v>
      </c>
      <c r="G99" s="1">
        <f t="shared" si="8"/>
        <v>19.999414207218138</v>
      </c>
      <c r="H99" s="1">
        <f t="shared" si="9"/>
        <v>39.999052167368582</v>
      </c>
      <c r="I99" s="1">
        <f t="shared" si="10"/>
        <v>59.999052167368582</v>
      </c>
      <c r="J99" s="4">
        <f t="shared" si="11"/>
        <v>79.999414207218138</v>
      </c>
      <c r="K99" s="7">
        <f t="shared" si="12"/>
        <v>100</v>
      </c>
    </row>
    <row r="100" spans="5:11" x14ac:dyDescent="0.2">
      <c r="E100" cm="1">
        <f t="array" ref="E100">E99+dt</f>
        <v>9600</v>
      </c>
      <c r="F100" s="3">
        <f t="shared" si="7"/>
        <v>0</v>
      </c>
      <c r="G100" s="1">
        <f t="shared" si="8"/>
        <v>19.999479070660943</v>
      </c>
      <c r="H100" s="1">
        <f t="shared" si="9"/>
        <v>39.999157118623671</v>
      </c>
      <c r="I100" s="1">
        <f t="shared" si="10"/>
        <v>59.999157118623671</v>
      </c>
      <c r="J100" s="4">
        <f t="shared" si="11"/>
        <v>79.999479070660939</v>
      </c>
      <c r="K100" s="7">
        <f t="shared" si="12"/>
        <v>100</v>
      </c>
    </row>
    <row r="101" spans="5:11" x14ac:dyDescent="0.2">
      <c r="E101" cm="1">
        <f t="array" ref="E101">E100+dt</f>
        <v>9700</v>
      </c>
      <c r="F101" s="3">
        <f t="shared" si="7"/>
        <v>0</v>
      </c>
      <c r="G101" s="1">
        <f t="shared" si="8"/>
        <v>19.999536751928854</v>
      </c>
      <c r="H101" s="1">
        <f t="shared" si="9"/>
        <v>39.999250448875664</v>
      </c>
      <c r="I101" s="1">
        <f t="shared" si="10"/>
        <v>59.999250448875664</v>
      </c>
      <c r="J101" s="4">
        <f t="shared" si="11"/>
        <v>79.999536751928858</v>
      </c>
      <c r="K101" s="7">
        <f t="shared" si="12"/>
        <v>100</v>
      </c>
    </row>
    <row r="102" spans="5:11" x14ac:dyDescent="0.2">
      <c r="E102" cm="1">
        <f t="array" ref="E102">E101+dt</f>
        <v>9800</v>
      </c>
      <c r="F102" s="3">
        <f t="shared" si="7"/>
        <v>0</v>
      </c>
      <c r="G102" s="1">
        <f t="shared" si="8"/>
        <v>19.999588046287027</v>
      </c>
      <c r="H102" s="1">
        <f t="shared" si="9"/>
        <v>39.999333444890617</v>
      </c>
      <c r="I102" s="1">
        <f t="shared" si="10"/>
        <v>59.999333444890617</v>
      </c>
      <c r="J102" s="4">
        <f t="shared" si="11"/>
        <v>79.99958804628703</v>
      </c>
      <c r="K102" s="7">
        <f t="shared" si="12"/>
        <v>100</v>
      </c>
    </row>
    <row r="103" spans="5:11" x14ac:dyDescent="0.2">
      <c r="E103" cm="1">
        <f t="array" ref="E103">E102+dt</f>
        <v>9900</v>
      </c>
      <c r="F103" s="3">
        <f t="shared" si="7"/>
        <v>0</v>
      </c>
      <c r="G103" s="1">
        <f t="shared" si="8"/>
        <v>19.999633660942802</v>
      </c>
      <c r="H103" s="1">
        <f t="shared" si="9"/>
        <v>39.99940725095405</v>
      </c>
      <c r="I103" s="1">
        <f t="shared" si="10"/>
        <v>59.99940725095405</v>
      </c>
      <c r="J103" s="4">
        <f t="shared" si="11"/>
        <v>79.999633660942806</v>
      </c>
      <c r="K103" s="7">
        <f t="shared" si="12"/>
        <v>100</v>
      </c>
    </row>
    <row r="104" spans="5:11" x14ac:dyDescent="0.2">
      <c r="E104" cm="1">
        <f t="array" ref="E104">E103+dt</f>
        <v>10000</v>
      </c>
      <c r="F104" s="3">
        <f t="shared" si="7"/>
        <v>0</v>
      </c>
      <c r="G104" s="1">
        <f t="shared" si="8"/>
        <v>19.999674224796131</v>
      </c>
      <c r="H104" s="1">
        <f t="shared" si="9"/>
        <v>39.999472884647453</v>
      </c>
      <c r="I104" s="1">
        <f t="shared" si="10"/>
        <v>59.999472884647453</v>
      </c>
      <c r="J104" s="4">
        <f t="shared" si="11"/>
        <v>79.999674224796138</v>
      </c>
      <c r="K104" s="7">
        <f t="shared" si="12"/>
        <v>100</v>
      </c>
    </row>
    <row r="105" spans="5:11" x14ac:dyDescent="0.2">
      <c r="E105" cm="1">
        <f t="array" ref="E105">E104+dt</f>
        <v>10100</v>
      </c>
      <c r="F105" s="3">
        <f t="shared" si="7"/>
        <v>0</v>
      </c>
      <c r="G105" s="1">
        <f t="shared" si="8"/>
        <v>19.999710297110369</v>
      </c>
      <c r="H105" s="1">
        <f t="shared" si="9"/>
        <v>39.999531250877936</v>
      </c>
      <c r="I105" s="1">
        <f t="shared" si="10"/>
        <v>59.999531250877936</v>
      </c>
      <c r="J105" s="4">
        <f t="shared" si="11"/>
        <v>79.999710297110369</v>
      </c>
      <c r="K105" s="7">
        <f t="shared" si="12"/>
        <v>100</v>
      </c>
    </row>
    <row r="106" spans="5:11" x14ac:dyDescent="0.2">
      <c r="E106" cm="1">
        <f t="array" ref="E106">E105+dt</f>
        <v>10200</v>
      </c>
      <c r="F106" s="3">
        <f t="shared" si="7"/>
        <v>0</v>
      </c>
      <c r="G106" s="1">
        <f t="shared" si="8"/>
        <v>19.999742375222961</v>
      </c>
      <c r="H106" s="1">
        <f t="shared" si="9"/>
        <v>39.999583154354404</v>
      </c>
      <c r="I106" s="1">
        <f t="shared" si="10"/>
        <v>59.999583154354404</v>
      </c>
      <c r="J106" s="4">
        <f t="shared" si="11"/>
        <v>79.999742375222965</v>
      </c>
      <c r="K106" s="7">
        <f t="shared" si="12"/>
        <v>100</v>
      </c>
    </row>
    <row r="107" spans="5:11" x14ac:dyDescent="0.2">
      <c r="E107" cm="1">
        <f t="array" ref="E107">E106+dt</f>
        <v>10300</v>
      </c>
      <c r="F107" s="3">
        <f t="shared" si="7"/>
        <v>0</v>
      </c>
      <c r="G107" s="1">
        <f t="shared" si="8"/>
        <v>19.999770901402368</v>
      </c>
      <c r="H107" s="1">
        <f t="shared" si="9"/>
        <v>39.999629310682259</v>
      </c>
      <c r="I107" s="1">
        <f t="shared" si="10"/>
        <v>59.999629310682259</v>
      </c>
      <c r="J107" s="4">
        <f t="shared" si="11"/>
        <v>79.999770901402371</v>
      </c>
      <c r="K107" s="7">
        <f t="shared" si="12"/>
        <v>100</v>
      </c>
    </row>
    <row r="108" spans="5:11" x14ac:dyDescent="0.2">
      <c r="E108" cm="1">
        <f t="array" ref="E108">E107+dt</f>
        <v>10400</v>
      </c>
      <c r="F108" s="3">
        <f t="shared" si="7"/>
        <v>0</v>
      </c>
      <c r="G108" s="1">
        <f t="shared" si="8"/>
        <v>19.999796268945712</v>
      </c>
      <c r="H108" s="1">
        <f t="shared" si="9"/>
        <v>39.999670356229601</v>
      </c>
      <c r="I108" s="1">
        <f t="shared" si="10"/>
        <v>59.999670356229601</v>
      </c>
      <c r="J108" s="4">
        <f t="shared" si="11"/>
        <v>79.999796268945715</v>
      </c>
      <c r="K108" s="7">
        <f t="shared" si="12"/>
        <v>100</v>
      </c>
    </row>
    <row r="109" spans="5:11" x14ac:dyDescent="0.2">
      <c r="E109" cm="1">
        <f t="array" ref="E109">E108+dt</f>
        <v>10500</v>
      </c>
      <c r="F109" s="3">
        <f t="shared" si="7"/>
        <v>0</v>
      </c>
      <c r="G109" s="1">
        <f t="shared" si="8"/>
        <v>19.99981882760126</v>
      </c>
      <c r="H109" s="1">
        <f t="shared" si="9"/>
        <v>39.999706856901014</v>
      </c>
      <c r="I109" s="1">
        <f t="shared" si="10"/>
        <v>59.999706856901014</v>
      </c>
      <c r="J109" s="4">
        <f t="shared" si="11"/>
        <v>79.99981882760126</v>
      </c>
      <c r="K109" s="7">
        <f t="shared" si="12"/>
        <v>100</v>
      </c>
    </row>
    <row r="110" spans="5:11" x14ac:dyDescent="0.2">
      <c r="E110" cm="1">
        <f t="array" ref="E110">E109+dt</f>
        <v>10600</v>
      </c>
      <c r="F110" s="3">
        <f t="shared" si="7"/>
        <v>0</v>
      </c>
      <c r="G110" s="1">
        <f t="shared" si="8"/>
        <v>19.999838888390482</v>
      </c>
      <c r="H110" s="1">
        <f t="shared" si="9"/>
        <v>39.999739315939813</v>
      </c>
      <c r="I110" s="1">
        <f t="shared" si="10"/>
        <v>59.999739315939813</v>
      </c>
      <c r="J110" s="4">
        <f t="shared" si="11"/>
        <v>79.999838888390485</v>
      </c>
      <c r="K110" s="7">
        <f t="shared" si="12"/>
        <v>100</v>
      </c>
    </row>
    <row r="111" spans="5:11" x14ac:dyDescent="0.2">
      <c r="E111" cm="1">
        <f t="array" ref="E111">E110+dt</f>
        <v>10700</v>
      </c>
      <c r="F111" s="3">
        <f t="shared" si="7"/>
        <v>0</v>
      </c>
      <c r="G111" s="1">
        <f t="shared" si="8"/>
        <v>19.999856727896177</v>
      </c>
      <c r="H111" s="1">
        <f t="shared" si="9"/>
        <v>39.999768180866376</v>
      </c>
      <c r="I111" s="1">
        <f t="shared" si="10"/>
        <v>59.999768180866376</v>
      </c>
      <c r="J111" s="4">
        <f t="shared" si="11"/>
        <v>79.999856727896173</v>
      </c>
      <c r="K111" s="7">
        <f t="shared" si="12"/>
        <v>100</v>
      </c>
    </row>
    <row r="112" spans="5:11" x14ac:dyDescent="0.2">
      <c r="E112" cm="1">
        <f t="array" ref="E112">E111+dt</f>
        <v>10800</v>
      </c>
      <c r="F112" s="3">
        <f t="shared" si="7"/>
        <v>0</v>
      </c>
      <c r="G112" s="1">
        <f t="shared" si="8"/>
        <v>19.9998725920758</v>
      </c>
      <c r="H112" s="1">
        <f t="shared" si="9"/>
        <v>39.999793849648206</v>
      </c>
      <c r="I112" s="1">
        <f t="shared" si="10"/>
        <v>59.999793849648206</v>
      </c>
      <c r="J112" s="4">
        <f t="shared" si="11"/>
        <v>79.999872592075803</v>
      </c>
      <c r="K112" s="7">
        <f t="shared" si="12"/>
        <v>100</v>
      </c>
    </row>
    <row r="113" spans="5:11" x14ac:dyDescent="0.2">
      <c r="E113" cm="1">
        <f t="array" ref="E113">E112+dt</f>
        <v>10900</v>
      </c>
      <c r="F113" s="3">
        <f t="shared" si="7"/>
        <v>0</v>
      </c>
      <c r="G113" s="1">
        <f t="shared" si="8"/>
        <v>19.999886699652507</v>
      </c>
      <c r="H113" s="1">
        <f t="shared" si="9"/>
        <v>39.999816676186818</v>
      </c>
      <c r="I113" s="1">
        <f t="shared" si="10"/>
        <v>59.999816676186818</v>
      </c>
      <c r="J113" s="4">
        <f t="shared" si="11"/>
        <v>79.999886699652507</v>
      </c>
      <c r="K113" s="7">
        <f t="shared" si="12"/>
        <v>100</v>
      </c>
    </row>
    <row r="114" spans="5:11" x14ac:dyDescent="0.2">
      <c r="E114" cm="1">
        <f t="array" ref="E114">E113+dt</f>
        <v>11000</v>
      </c>
      <c r="F114" s="3">
        <f t="shared" si="7"/>
        <v>0</v>
      </c>
      <c r="G114" s="1">
        <f t="shared" si="8"/>
        <v>19.999899245130766</v>
      </c>
      <c r="H114" s="1">
        <f t="shared" si="9"/>
        <v>39.999836975197049</v>
      </c>
      <c r="I114" s="1">
        <f t="shared" si="10"/>
        <v>59.999836975197049</v>
      </c>
      <c r="J114" s="4">
        <f t="shared" si="11"/>
        <v>79.999899245130763</v>
      </c>
      <c r="K114" s="7">
        <f t="shared" si="12"/>
        <v>100</v>
      </c>
    </row>
    <row r="115" spans="5:11" x14ac:dyDescent="0.2">
      <c r="E115" cm="1">
        <f t="array" ref="E115">E114+dt</f>
        <v>11100</v>
      </c>
      <c r="F115" s="3">
        <f t="shared" si="7"/>
        <v>0</v>
      </c>
      <c r="G115" s="1">
        <f t="shared" si="8"/>
        <v>19.999910401478029</v>
      </c>
      <c r="H115" s="1">
        <f t="shared" si="9"/>
        <v>39.999855026546108</v>
      </c>
      <c r="I115" s="1">
        <f t="shared" si="10"/>
        <v>59.999855026546108</v>
      </c>
      <c r="J115" s="4">
        <f t="shared" si="11"/>
        <v>79.999910401478033</v>
      </c>
      <c r="K115" s="7">
        <f t="shared" si="12"/>
        <v>100</v>
      </c>
    </row>
    <row r="116" spans="5:11" x14ac:dyDescent="0.2">
      <c r="E116" cm="1">
        <f t="array" ref="E116">E115+dt</f>
        <v>11200</v>
      </c>
      <c r="F116" s="3">
        <f t="shared" si="7"/>
        <v>0</v>
      </c>
      <c r="G116" s="1">
        <f t="shared" si="8"/>
        <v>19.999920322509467</v>
      </c>
      <c r="H116" s="1">
        <f t="shared" si="9"/>
        <v>39.999871079112182</v>
      </c>
      <c r="I116" s="1">
        <f t="shared" si="10"/>
        <v>59.999871079112182</v>
      </c>
      <c r="J116" s="4">
        <f t="shared" si="11"/>
        <v>79.999920322509467</v>
      </c>
      <c r="K116" s="7">
        <f t="shared" si="12"/>
        <v>100</v>
      </c>
    </row>
    <row r="117" spans="5:11" x14ac:dyDescent="0.2">
      <c r="E117" cm="1">
        <f t="array" ref="E117">E116+dt</f>
        <v>11300</v>
      </c>
      <c r="F117" s="3">
        <f t="shared" si="7"/>
        <v>0</v>
      </c>
      <c r="G117" s="1">
        <f t="shared" si="8"/>
        <v>19.999929145008668</v>
      </c>
      <c r="H117" s="1">
        <f t="shared" si="9"/>
        <v>39.999885354215756</v>
      </c>
      <c r="I117" s="1">
        <f t="shared" si="10"/>
        <v>59.999885354215756</v>
      </c>
      <c r="J117" s="4">
        <f t="shared" si="11"/>
        <v>79.999929145008664</v>
      </c>
      <c r="K117" s="7">
        <f t="shared" si="12"/>
        <v>100</v>
      </c>
    </row>
    <row r="118" spans="5:11" x14ac:dyDescent="0.2">
      <c r="E118" cm="1">
        <f t="array" ref="E118">E117+dt</f>
        <v>11400</v>
      </c>
      <c r="F118" s="3">
        <f t="shared" si="7"/>
        <v>0</v>
      </c>
      <c r="G118" s="1">
        <f t="shared" si="8"/>
        <v>19.999936990613499</v>
      </c>
      <c r="H118" s="1">
        <f t="shared" si="9"/>
        <v>39.999898048671028</v>
      </c>
      <c r="I118" s="1">
        <f t="shared" si="10"/>
        <v>59.999898048671028</v>
      </c>
      <c r="J118" s="4">
        <f t="shared" si="11"/>
        <v>79.999936990613492</v>
      </c>
      <c r="K118" s="7">
        <f t="shared" si="12"/>
        <v>100</v>
      </c>
    </row>
    <row r="119" spans="5:11" x14ac:dyDescent="0.2">
      <c r="E119" cm="1">
        <f t="array" ref="E119">E118+dt</f>
        <v>11500</v>
      </c>
      <c r="F119" s="3">
        <f t="shared" si="7"/>
        <v>0</v>
      </c>
      <c r="G119" s="1">
        <f t="shared" si="8"/>
        <v>19.999943967493145</v>
      </c>
      <c r="H119" s="1">
        <f t="shared" si="9"/>
        <v>39.999909337499432</v>
      </c>
      <c r="I119" s="1">
        <f t="shared" si="10"/>
        <v>59.999909337499432</v>
      </c>
      <c r="J119" s="4">
        <f t="shared" si="11"/>
        <v>79.999943967493138</v>
      </c>
      <c r="K119" s="7">
        <f t="shared" si="12"/>
        <v>100</v>
      </c>
    </row>
    <row r="120" spans="5:11" x14ac:dyDescent="0.2">
      <c r="E120" cm="1">
        <f t="array" ref="E120">E119+dt</f>
        <v>11600</v>
      </c>
      <c r="F120" s="3">
        <f t="shared" si="7"/>
        <v>0</v>
      </c>
      <c r="G120" s="1">
        <f t="shared" si="8"/>
        <v>19.999950171839487</v>
      </c>
      <c r="H120" s="1">
        <f t="shared" si="9"/>
        <v>39.999919376342696</v>
      </c>
      <c r="I120" s="1">
        <f t="shared" si="10"/>
        <v>59.999919376342689</v>
      </c>
      <c r="J120" s="4">
        <f t="shared" si="11"/>
        <v>79.999950171839487</v>
      </c>
      <c r="K120" s="7">
        <f t="shared" si="12"/>
        <v>100</v>
      </c>
    </row>
    <row r="121" spans="5:11" x14ac:dyDescent="0.2">
      <c r="E121" cm="1">
        <f t="array" ref="E121">E120+dt</f>
        <v>11700</v>
      </c>
      <c r="F121" s="3">
        <f t="shared" si="7"/>
        <v>0</v>
      </c>
      <c r="G121" s="1">
        <f t="shared" si="8"/>
        <v>19.999955689193303</v>
      </c>
      <c r="H121" s="1">
        <f t="shared" si="9"/>
        <v>39.999928303608691</v>
      </c>
      <c r="I121" s="1">
        <f t="shared" si="10"/>
        <v>59.999928303608691</v>
      </c>
      <c r="J121" s="4">
        <f t="shared" si="11"/>
        <v>79.9999556891933</v>
      </c>
      <c r="K121" s="7">
        <f t="shared" si="12"/>
        <v>100</v>
      </c>
    </row>
    <row r="122" spans="5:11" x14ac:dyDescent="0.2">
      <c r="E122" cm="1">
        <f t="array" ref="E122">E121+dt</f>
        <v>11800</v>
      </c>
      <c r="F122" s="3">
        <f t="shared" si="7"/>
        <v>0</v>
      </c>
      <c r="G122" s="1">
        <f t="shared" si="8"/>
        <v>19.999960595623637</v>
      </c>
      <c r="H122" s="1">
        <f t="shared" si="9"/>
        <v>39.999936242379739</v>
      </c>
      <c r="I122" s="1">
        <f t="shared" si="10"/>
        <v>59.999936242379739</v>
      </c>
      <c r="J122" s="4">
        <f t="shared" si="11"/>
        <v>79.999960595623634</v>
      </c>
      <c r="K122" s="7">
        <f t="shared" si="12"/>
        <v>100</v>
      </c>
    </row>
    <row r="123" spans="5:11" x14ac:dyDescent="0.2">
      <c r="E123" cm="1">
        <f t="array" ref="E123">E122+dt</f>
        <v>11900</v>
      </c>
      <c r="F123" s="3">
        <f t="shared" si="7"/>
        <v>0</v>
      </c>
      <c r="G123" s="1">
        <f t="shared" si="8"/>
        <v>19.999964958776602</v>
      </c>
      <c r="H123" s="1">
        <f t="shared" si="9"/>
        <v>39.999943302109536</v>
      </c>
      <c r="I123" s="1">
        <f t="shared" si="10"/>
        <v>59.999943302109536</v>
      </c>
      <c r="J123" s="4">
        <f t="shared" si="11"/>
        <v>79.999964958776602</v>
      </c>
      <c r="K123" s="7">
        <f t="shared" si="12"/>
        <v>100</v>
      </c>
    </row>
    <row r="124" spans="5:11" x14ac:dyDescent="0.2">
      <c r="E124" cm="1">
        <f t="array" ref="E124">E123+dt</f>
        <v>12000</v>
      </c>
      <c r="F124" s="3">
        <f t="shared" si="7"/>
        <v>0</v>
      </c>
      <c r="G124" s="1">
        <f t="shared" si="8"/>
        <v>19.999968838808005</v>
      </c>
      <c r="H124" s="1">
        <f t="shared" si="9"/>
        <v>39.999949580132224</v>
      </c>
      <c r="I124" s="1">
        <f t="shared" si="10"/>
        <v>59.999949580132224</v>
      </c>
      <c r="J124" s="4">
        <f t="shared" si="11"/>
        <v>79.999968838808002</v>
      </c>
      <c r="K124" s="7">
        <f t="shared" si="12"/>
        <v>100</v>
      </c>
    </row>
    <row r="125" spans="5:11" x14ac:dyDescent="0.2">
      <c r="E125" cm="1">
        <f t="array" ref="E125">E124+dt</f>
        <v>12100</v>
      </c>
      <c r="F125" s="3">
        <f t="shared" si="7"/>
        <v>0</v>
      </c>
      <c r="G125" s="1">
        <f t="shared" si="8"/>
        <v>19.999972289212753</v>
      </c>
      <c r="H125" s="1">
        <f t="shared" si="9"/>
        <v>39.99995516300438</v>
      </c>
      <c r="I125" s="1">
        <f t="shared" si="10"/>
        <v>59.99995516300438</v>
      </c>
      <c r="J125" s="4">
        <f t="shared" si="11"/>
        <v>79.999972289212749</v>
      </c>
      <c r="K125" s="7">
        <f t="shared" si="12"/>
        <v>100</v>
      </c>
    </row>
    <row r="126" spans="5:11" x14ac:dyDescent="0.2">
      <c r="E126" cm="1">
        <f t="array" ref="E126">E125+dt</f>
        <v>12200</v>
      </c>
      <c r="F126" s="3">
        <f t="shared" si="7"/>
        <v>0</v>
      </c>
      <c r="G126" s="1">
        <f t="shared" si="8"/>
        <v>19.999975357562381</v>
      </c>
      <c r="H126" s="1">
        <f t="shared" si="9"/>
        <v>39.999960127698365</v>
      </c>
      <c r="I126" s="1">
        <f t="shared" si="10"/>
        <v>59.999960127698365</v>
      </c>
      <c r="J126" s="4">
        <f t="shared" si="11"/>
        <v>79.999975357562377</v>
      </c>
      <c r="K126" s="7">
        <f t="shared" si="12"/>
        <v>100</v>
      </c>
    </row>
    <row r="127" spans="5:11" x14ac:dyDescent="0.2">
      <c r="E127" cm="1">
        <f t="array" ref="E127">E126+dt</f>
        <v>12300</v>
      </c>
      <c r="F127" s="3">
        <f t="shared" si="7"/>
        <v>0</v>
      </c>
      <c r="G127" s="1">
        <f t="shared" si="8"/>
        <v>19.999978086160944</v>
      </c>
      <c r="H127" s="1">
        <f t="shared" si="9"/>
        <v>39.999964542663584</v>
      </c>
      <c r="I127" s="1">
        <f t="shared" si="10"/>
        <v>59.999964542663584</v>
      </c>
      <c r="J127" s="4">
        <f t="shared" si="11"/>
        <v>79.999978086160937</v>
      </c>
      <c r="K127" s="7">
        <f t="shared" si="12"/>
        <v>100</v>
      </c>
    </row>
    <row r="128" spans="5:11" x14ac:dyDescent="0.2">
      <c r="E128" cm="1">
        <f t="array" ref="E128">E127+dt</f>
        <v>12400</v>
      </c>
      <c r="F128" s="3">
        <f t="shared" si="7"/>
        <v>0</v>
      </c>
      <c r="G128" s="1">
        <f t="shared" si="8"/>
        <v>19.999980512628273</v>
      </c>
      <c r="H128" s="1">
        <f t="shared" si="9"/>
        <v>39.999968468770192</v>
      </c>
      <c r="I128" s="1">
        <f t="shared" si="10"/>
        <v>59.999968468770192</v>
      </c>
      <c r="J128" s="4">
        <f t="shared" si="11"/>
        <v>79.999980512628269</v>
      </c>
      <c r="K128" s="7">
        <f t="shared" si="12"/>
        <v>100</v>
      </c>
    </row>
    <row r="129" spans="5:11" x14ac:dyDescent="0.2">
      <c r="E129" cm="1">
        <f t="array" ref="E129">E128+dt</f>
        <v>12500</v>
      </c>
      <c r="F129" s="3">
        <f t="shared" si="7"/>
        <v>0</v>
      </c>
      <c r="G129" s="1">
        <f t="shared" si="8"/>
        <v>19.999982670418639</v>
      </c>
      <c r="H129" s="1">
        <f t="shared" si="9"/>
        <v>39.999971960148343</v>
      </c>
      <c r="I129" s="1">
        <f t="shared" si="10"/>
        <v>59.999971960148343</v>
      </c>
      <c r="J129" s="4">
        <f t="shared" si="11"/>
        <v>79.999982670418632</v>
      </c>
      <c r="K129" s="7">
        <f t="shared" si="12"/>
        <v>100</v>
      </c>
    </row>
    <row r="130" spans="5:11" x14ac:dyDescent="0.2">
      <c r="E130" cm="1">
        <f t="array" ref="E130">E129+dt</f>
        <v>12600</v>
      </c>
      <c r="F130" s="3">
        <f t="shared" si="7"/>
        <v>0</v>
      </c>
      <c r="G130" s="1">
        <f t="shared" si="8"/>
        <v>19.999984589282004</v>
      </c>
      <c r="H130" s="1">
        <f t="shared" si="9"/>
        <v>39.999975064934489</v>
      </c>
      <c r="I130" s="1">
        <f t="shared" si="10"/>
        <v>59.999975064934489</v>
      </c>
      <c r="J130" s="4">
        <f t="shared" si="11"/>
        <v>79.999984589282008</v>
      </c>
      <c r="K130" s="7">
        <f t="shared" si="12"/>
        <v>100</v>
      </c>
    </row>
    <row r="131" spans="5:11" x14ac:dyDescent="0.2">
      <c r="E131" cm="1">
        <f t="array" ref="E131">E130+dt</f>
        <v>12700</v>
      </c>
      <c r="F131" s="3">
        <f t="shared" si="7"/>
        <v>0</v>
      </c>
      <c r="G131" s="1">
        <f t="shared" si="8"/>
        <v>19.999986295674187</v>
      </c>
      <c r="H131" s="1">
        <f t="shared" si="9"/>
        <v>39.999977825935041</v>
      </c>
      <c r="I131" s="1">
        <f t="shared" si="10"/>
        <v>59.999977825935048</v>
      </c>
      <c r="J131" s="4">
        <f t="shared" si="11"/>
        <v>79.999986295674191</v>
      </c>
      <c r="K131" s="7">
        <f t="shared" si="12"/>
        <v>100</v>
      </c>
    </row>
    <row r="132" spans="5:11" x14ac:dyDescent="0.2">
      <c r="E132" cm="1">
        <f t="array" ref="E132">E131+dt</f>
        <v>12800</v>
      </c>
      <c r="F132" s="3">
        <f t="shared" si="7"/>
        <v>0</v>
      </c>
      <c r="G132" s="1">
        <f t="shared" si="8"/>
        <v>19.999987813121621</v>
      </c>
      <c r="H132" s="1">
        <f t="shared" si="9"/>
        <v>39.999980281216565</v>
      </c>
      <c r="I132" s="1">
        <f t="shared" si="10"/>
        <v>59.999980281216573</v>
      </c>
      <c r="J132" s="4">
        <f t="shared" si="11"/>
        <v>79.999987813121621</v>
      </c>
      <c r="K132" s="7">
        <f t="shared" si="12"/>
        <v>100</v>
      </c>
    </row>
    <row r="133" spans="5:11" x14ac:dyDescent="0.2">
      <c r="E133" cm="1">
        <f t="array" ref="E133">E132+dt</f>
        <v>12900</v>
      </c>
      <c r="F133" s="3">
        <f t="shared" ref="F133:F196" si="13">T_0</f>
        <v>0</v>
      </c>
      <c r="G133" s="1">
        <f t="shared" ref="G133:G196" si="14">G132+lambda*(H132-2*G132+F132)</f>
        <v>19.999989162545706</v>
      </c>
      <c r="H133" s="1">
        <f t="shared" ref="H133:H196" si="15">H132+lambda*(I132-2*H132+G132)</f>
        <v>39.999982464630605</v>
      </c>
      <c r="I133" s="1">
        <f t="shared" ref="I133:I196" si="16">I132+lambda*(J132-2*I132+H132)</f>
        <v>59.999982464630605</v>
      </c>
      <c r="J133" s="4">
        <f t="shared" ref="J133:J196" si="17">J132+lambda*(K132-2*J132+I132)</f>
        <v>79.999989162545702</v>
      </c>
      <c r="K133" s="7">
        <f t="shared" ref="K133:K196" si="18">T_5</f>
        <v>100</v>
      </c>
    </row>
    <row r="134" spans="5:11" x14ac:dyDescent="0.2">
      <c r="E134" cm="1">
        <f t="array" ref="E134">E133+dt</f>
        <v>13000</v>
      </c>
      <c r="F134" s="3">
        <f t="shared" si="13"/>
        <v>0</v>
      </c>
      <c r="G134" s="1">
        <f t="shared" si="14"/>
        <v>19.999990362551269</v>
      </c>
      <c r="H134" s="1">
        <f t="shared" si="15"/>
        <v>39.99998440628039</v>
      </c>
      <c r="I134" s="1">
        <f t="shared" si="16"/>
        <v>59.99998440628039</v>
      </c>
      <c r="J134" s="4">
        <f t="shared" si="17"/>
        <v>79.999990362551273</v>
      </c>
      <c r="K134" s="7">
        <f t="shared" si="18"/>
        <v>100</v>
      </c>
    </row>
    <row r="135" spans="5:11" x14ac:dyDescent="0.2">
      <c r="E135" cm="1">
        <f t="array" ref="E135">E134+dt</f>
        <v>13100</v>
      </c>
      <c r="F135" s="3">
        <f t="shared" si="13"/>
        <v>0</v>
      </c>
      <c r="G135" s="1">
        <f t="shared" si="14"/>
        <v>19.999991429683067</v>
      </c>
      <c r="H135" s="1">
        <f t="shared" si="15"/>
        <v>39.999986132935909</v>
      </c>
      <c r="I135" s="1">
        <f t="shared" si="16"/>
        <v>59.999986132935909</v>
      </c>
      <c r="J135" s="4">
        <f t="shared" si="17"/>
        <v>79.999991429683064</v>
      </c>
      <c r="K135" s="7">
        <f t="shared" si="18"/>
        <v>100</v>
      </c>
    </row>
    <row r="136" spans="5:11" x14ac:dyDescent="0.2">
      <c r="E136" cm="1">
        <f t="array" ref="E136">E135+dt</f>
        <v>13200</v>
      </c>
      <c r="F136" s="3">
        <f t="shared" si="13"/>
        <v>0</v>
      </c>
      <c r="G136" s="1">
        <f t="shared" si="14"/>
        <v>19.999992378653896</v>
      </c>
      <c r="H136" s="1">
        <f t="shared" si="15"/>
        <v>39.999987668402966</v>
      </c>
      <c r="I136" s="1">
        <f t="shared" si="16"/>
        <v>59.999987668402966</v>
      </c>
      <c r="J136" s="4">
        <f t="shared" si="17"/>
        <v>79.9999923786539</v>
      </c>
      <c r="K136" s="7">
        <f t="shared" si="18"/>
        <v>100</v>
      </c>
    </row>
    <row r="137" spans="5:11" x14ac:dyDescent="0.2">
      <c r="E137" cm="1">
        <f t="array" ref="E137">E136+dt</f>
        <v>13300</v>
      </c>
      <c r="F137" s="3">
        <f t="shared" si="13"/>
        <v>0</v>
      </c>
      <c r="G137" s="1">
        <f t="shared" si="14"/>
        <v>19.999993222547442</v>
      </c>
      <c r="H137" s="1">
        <f t="shared" si="15"/>
        <v>39.999989033851406</v>
      </c>
      <c r="I137" s="1">
        <f t="shared" si="16"/>
        <v>59.999989033851406</v>
      </c>
      <c r="J137" s="4">
        <f t="shared" si="17"/>
        <v>79.999993222547445</v>
      </c>
      <c r="K137" s="7">
        <f t="shared" si="18"/>
        <v>100</v>
      </c>
    </row>
    <row r="138" spans="5:11" x14ac:dyDescent="0.2">
      <c r="E138" cm="1">
        <f t="array" ref="E138">E137+dt</f>
        <v>13400</v>
      </c>
      <c r="F138" s="3">
        <f t="shared" si="13"/>
        <v>0</v>
      </c>
      <c r="G138" s="1">
        <f t="shared" si="14"/>
        <v>19.999993972998659</v>
      </c>
      <c r="H138" s="1">
        <f t="shared" si="15"/>
        <v>39.999990248106982</v>
      </c>
      <c r="I138" s="1">
        <f t="shared" si="16"/>
        <v>59.999990248106982</v>
      </c>
      <c r="J138" s="4">
        <f t="shared" si="17"/>
        <v>79.999993972998666</v>
      </c>
      <c r="K138" s="7">
        <f t="shared" si="18"/>
        <v>100</v>
      </c>
    </row>
    <row r="139" spans="5:11" x14ac:dyDescent="0.2">
      <c r="E139" cm="1">
        <f t="array" ref="E139">E138+dt</f>
        <v>13500</v>
      </c>
      <c r="F139" s="3">
        <f t="shared" si="13"/>
        <v>0</v>
      </c>
      <c r="G139" s="1">
        <f t="shared" si="14"/>
        <v>19.999994640354199</v>
      </c>
      <c r="H139" s="1">
        <f t="shared" si="15"/>
        <v>39.999991327910926</v>
      </c>
      <c r="I139" s="1">
        <f t="shared" si="16"/>
        <v>59.999991327910926</v>
      </c>
      <c r="J139" s="4">
        <f t="shared" si="17"/>
        <v>79.999994640354203</v>
      </c>
      <c r="K139" s="7">
        <f t="shared" si="18"/>
        <v>100</v>
      </c>
    </row>
    <row r="140" spans="5:11" x14ac:dyDescent="0.2">
      <c r="E140" cm="1">
        <f t="array" ref="E140">E139+dt</f>
        <v>13600</v>
      </c>
      <c r="F140" s="3">
        <f t="shared" si="13"/>
        <v>0</v>
      </c>
      <c r="G140" s="1">
        <f t="shared" si="14"/>
        <v>19.999995233815042</v>
      </c>
      <c r="H140" s="1">
        <f t="shared" si="15"/>
        <v>39.999992288150743</v>
      </c>
      <c r="I140" s="1">
        <f t="shared" si="16"/>
        <v>59.999992288150743</v>
      </c>
      <c r="J140" s="4">
        <f t="shared" si="17"/>
        <v>79.999995233815042</v>
      </c>
      <c r="K140" s="7">
        <f t="shared" si="18"/>
        <v>100</v>
      </c>
    </row>
    <row r="141" spans="5:11" x14ac:dyDescent="0.2">
      <c r="E141" cm="1">
        <f t="array" ref="E141">E140+dt</f>
        <v>13700</v>
      </c>
      <c r="F141" s="3">
        <f t="shared" si="13"/>
        <v>0</v>
      </c>
      <c r="G141" s="1">
        <f t="shared" si="14"/>
        <v>19.999995761563376</v>
      </c>
      <c r="H141" s="1">
        <f t="shared" si="15"/>
        <v>39.999993142065485</v>
      </c>
      <c r="I141" s="1">
        <f t="shared" si="16"/>
        <v>59.999993142065485</v>
      </c>
      <c r="J141" s="4">
        <f t="shared" si="17"/>
        <v>79.999995761563383</v>
      </c>
      <c r="K141" s="7">
        <f t="shared" si="18"/>
        <v>100</v>
      </c>
    </row>
    <row r="142" spans="5:11" x14ac:dyDescent="0.2">
      <c r="E142" cm="1">
        <f t="array" ref="E142">E141+dt</f>
        <v>13800</v>
      </c>
      <c r="F142" s="3">
        <f t="shared" si="13"/>
        <v>0</v>
      </c>
      <c r="G142" s="1">
        <f t="shared" si="14"/>
        <v>19.999996230875393</v>
      </c>
      <c r="H142" s="1">
        <f t="shared" si="15"/>
        <v>39.999993901428276</v>
      </c>
      <c r="I142" s="1">
        <f t="shared" si="16"/>
        <v>59.999993901428283</v>
      </c>
      <c r="J142" s="4">
        <f t="shared" si="17"/>
        <v>79.999996230875396</v>
      </c>
      <c r="K142" s="7">
        <f t="shared" si="18"/>
        <v>100</v>
      </c>
    </row>
    <row r="143" spans="5:11" x14ac:dyDescent="0.2">
      <c r="E143" cm="1">
        <f t="array" ref="E143">E142+dt</f>
        <v>13900</v>
      </c>
      <c r="F143" s="3">
        <f t="shared" si="13"/>
        <v>0</v>
      </c>
      <c r="G143" s="1">
        <f t="shared" si="14"/>
        <v>19.999996648221604</v>
      </c>
      <c r="H143" s="1">
        <f t="shared" si="15"/>
        <v>39.999994576708637</v>
      </c>
      <c r="I143" s="1">
        <f t="shared" si="16"/>
        <v>59.999994576708637</v>
      </c>
      <c r="J143" s="4">
        <f t="shared" si="17"/>
        <v>79.999996648221611</v>
      </c>
      <c r="K143" s="7">
        <f t="shared" si="18"/>
        <v>100</v>
      </c>
    </row>
    <row r="144" spans="5:11" x14ac:dyDescent="0.2">
      <c r="E144" cm="1">
        <f t="array" ref="E144">E143+dt</f>
        <v>14000</v>
      </c>
      <c r="F144" s="3">
        <f t="shared" si="13"/>
        <v>0</v>
      </c>
      <c r="G144" s="1">
        <f t="shared" si="14"/>
        <v>19.999997019356062</v>
      </c>
      <c r="H144" s="1">
        <f t="shared" si="15"/>
        <v>39.999995177216803</v>
      </c>
      <c r="I144" s="1">
        <f t="shared" si="16"/>
        <v>59.999995177216803</v>
      </c>
      <c r="J144" s="4">
        <f t="shared" si="17"/>
        <v>79.999997019356073</v>
      </c>
      <c r="K144" s="7">
        <f t="shared" si="18"/>
        <v>100</v>
      </c>
    </row>
    <row r="145" spans="5:11" x14ac:dyDescent="0.2">
      <c r="E145" cm="1">
        <f t="array" ref="E145">E144+dt</f>
        <v>14100</v>
      </c>
      <c r="F145" s="3">
        <f t="shared" si="13"/>
        <v>0</v>
      </c>
      <c r="G145" s="1">
        <f t="shared" si="14"/>
        <v>19.999997349395684</v>
      </c>
      <c r="H145" s="1">
        <f t="shared" si="15"/>
        <v>39.999995711232124</v>
      </c>
      <c r="I145" s="1">
        <f t="shared" si="16"/>
        <v>59.999995711232131</v>
      </c>
      <c r="J145" s="4">
        <f t="shared" si="17"/>
        <v>79.999997349395684</v>
      </c>
      <c r="K145" s="7">
        <f t="shared" si="18"/>
        <v>100</v>
      </c>
    </row>
    <row r="146" spans="5:11" x14ac:dyDescent="0.2">
      <c r="E146" cm="1">
        <f t="array" ref="E146">E145+dt</f>
        <v>14200</v>
      </c>
      <c r="F146" s="3">
        <f t="shared" si="13"/>
        <v>0</v>
      </c>
      <c r="G146" s="1">
        <f t="shared" si="14"/>
        <v>19.999997642890801</v>
      </c>
      <c r="H146" s="1">
        <f t="shared" si="15"/>
        <v>39.999996186117201</v>
      </c>
      <c r="I146" s="1">
        <f t="shared" si="16"/>
        <v>59.999996186117201</v>
      </c>
      <c r="J146" s="4">
        <f t="shared" si="17"/>
        <v>79.999997642890804</v>
      </c>
      <c r="K146" s="7">
        <f t="shared" si="18"/>
        <v>100</v>
      </c>
    </row>
    <row r="147" spans="5:11" x14ac:dyDescent="0.2">
      <c r="E147" cm="1">
        <f t="array" ref="E147">E146+dt</f>
        <v>14300</v>
      </c>
      <c r="F147" s="3">
        <f t="shared" si="13"/>
        <v>0</v>
      </c>
      <c r="G147" s="1">
        <f t="shared" si="14"/>
        <v>19.999997903887902</v>
      </c>
      <c r="H147" s="1">
        <f t="shared" si="15"/>
        <v>39.99999660841938</v>
      </c>
      <c r="I147" s="1">
        <f t="shared" si="16"/>
        <v>59.99999660841938</v>
      </c>
      <c r="J147" s="4">
        <f t="shared" si="17"/>
        <v>79.999997903887902</v>
      </c>
      <c r="K147" s="7">
        <f t="shared" si="18"/>
        <v>100</v>
      </c>
    </row>
    <row r="148" spans="5:11" x14ac:dyDescent="0.2">
      <c r="E148" cm="1">
        <f t="array" ref="E148">E147+dt</f>
        <v>14400</v>
      </c>
      <c r="F148" s="3">
        <f t="shared" si="13"/>
        <v>0</v>
      </c>
      <c r="G148" s="1">
        <f t="shared" si="14"/>
        <v>19.999998135985415</v>
      </c>
      <c r="H148" s="1">
        <f t="shared" si="15"/>
        <v>39.99999698396104</v>
      </c>
      <c r="I148" s="1">
        <f t="shared" si="16"/>
        <v>59.99999698396104</v>
      </c>
      <c r="J148" s="4">
        <f t="shared" si="17"/>
        <v>79.999998135985408</v>
      </c>
      <c r="K148" s="7">
        <f t="shared" si="18"/>
        <v>100</v>
      </c>
    </row>
    <row r="149" spans="5:11" x14ac:dyDescent="0.2">
      <c r="E149" cm="1">
        <f t="array" ref="E149">E148+dt</f>
        <v>14500</v>
      </c>
      <c r="F149" s="3">
        <f t="shared" si="13"/>
        <v>0</v>
      </c>
      <c r="G149" s="1">
        <f t="shared" si="14"/>
        <v>19.999998342383318</v>
      </c>
      <c r="H149" s="1">
        <f t="shared" si="15"/>
        <v>39.99999731791987</v>
      </c>
      <c r="I149" s="1">
        <f t="shared" si="16"/>
        <v>59.999997317919863</v>
      </c>
      <c r="J149" s="4">
        <f t="shared" si="17"/>
        <v>79.999998342383321</v>
      </c>
      <c r="K149" s="7">
        <f t="shared" si="18"/>
        <v>100</v>
      </c>
    </row>
    <row r="150" spans="5:11" x14ac:dyDescent="0.2">
      <c r="E150" cm="1">
        <f t="array" ref="E150">E149+dt</f>
        <v>14600</v>
      </c>
      <c r="F150" s="3">
        <f t="shared" si="13"/>
        <v>0</v>
      </c>
      <c r="G150" s="1">
        <f t="shared" si="14"/>
        <v>19.999998525927275</v>
      </c>
      <c r="H150" s="1">
        <f t="shared" si="15"/>
        <v>39.999997614900231</v>
      </c>
      <c r="I150" s="1">
        <f t="shared" si="16"/>
        <v>59.999997614900231</v>
      </c>
      <c r="J150" s="4">
        <f t="shared" si="17"/>
        <v>79.999998525927268</v>
      </c>
      <c r="K150" s="7">
        <f t="shared" si="18"/>
        <v>100</v>
      </c>
    </row>
    <row r="151" spans="5:11" x14ac:dyDescent="0.2">
      <c r="E151" cm="1">
        <f t="array" ref="E151">E150+dt</f>
        <v>14700</v>
      </c>
      <c r="F151" s="3">
        <f t="shared" si="13"/>
        <v>0</v>
      </c>
      <c r="G151" s="1">
        <f t="shared" si="14"/>
        <v>19.999998689147844</v>
      </c>
      <c r="H151" s="1">
        <f t="shared" si="15"/>
        <v>39.999997878996659</v>
      </c>
      <c r="I151" s="1">
        <f t="shared" si="16"/>
        <v>59.999997878996659</v>
      </c>
      <c r="J151" s="4">
        <f t="shared" si="17"/>
        <v>79.999998689147844</v>
      </c>
      <c r="K151" s="7">
        <f t="shared" si="18"/>
        <v>100</v>
      </c>
    </row>
    <row r="152" spans="5:11" x14ac:dyDescent="0.2">
      <c r="E152" cm="1">
        <f t="array" ref="E152">E151+dt</f>
        <v>14800</v>
      </c>
      <c r="F152" s="3">
        <f t="shared" si="13"/>
        <v>0</v>
      </c>
      <c r="G152" s="1">
        <f t="shared" si="14"/>
        <v>19.99999883429539</v>
      </c>
      <c r="H152" s="1">
        <f t="shared" si="15"/>
        <v>39.999998113850317</v>
      </c>
      <c r="I152" s="1">
        <f t="shared" si="16"/>
        <v>59.999998113850317</v>
      </c>
      <c r="J152" s="4">
        <f t="shared" si="17"/>
        <v>79.999998834295383</v>
      </c>
      <c r="K152" s="7">
        <f t="shared" si="18"/>
        <v>100</v>
      </c>
    </row>
    <row r="153" spans="5:11" x14ac:dyDescent="0.2">
      <c r="E153" cm="1">
        <f t="array" ref="E153">E152+dt</f>
        <v>14900</v>
      </c>
      <c r="F153" s="3">
        <f t="shared" si="13"/>
        <v>0</v>
      </c>
      <c r="G153" s="1">
        <f t="shared" si="14"/>
        <v>19.999998963371091</v>
      </c>
      <c r="H153" s="1">
        <f t="shared" si="15"/>
        <v>39.999998322699192</v>
      </c>
      <c r="I153" s="1">
        <f t="shared" si="16"/>
        <v>59.999998322699192</v>
      </c>
      <c r="J153" s="4">
        <f t="shared" si="17"/>
        <v>79.999998963371084</v>
      </c>
      <c r="K153" s="7">
        <f t="shared" si="18"/>
        <v>100</v>
      </c>
    </row>
    <row r="154" spans="5:11" x14ac:dyDescent="0.2">
      <c r="E154" cm="1">
        <f t="array" ref="E154">E153+dt</f>
        <v>15000</v>
      </c>
      <c r="F154" s="3">
        <f t="shared" si="13"/>
        <v>0</v>
      </c>
      <c r="G154" s="1">
        <f t="shared" si="14"/>
        <v>19.999999078154548</v>
      </c>
      <c r="H154" s="1">
        <f t="shared" si="15"/>
        <v>39.999998508422728</v>
      </c>
      <c r="I154" s="1">
        <f t="shared" si="16"/>
        <v>59.999998508422721</v>
      </c>
      <c r="J154" s="4">
        <f t="shared" si="17"/>
        <v>79.999999078154545</v>
      </c>
      <c r="K154" s="7">
        <f t="shared" si="18"/>
        <v>100</v>
      </c>
    </row>
    <row r="155" spans="5:11" x14ac:dyDescent="0.2">
      <c r="E155" cm="1">
        <f t="array" ref="E155">E154+dt</f>
        <v>15100</v>
      </c>
      <c r="F155" s="3">
        <f t="shared" si="13"/>
        <v>0</v>
      </c>
      <c r="G155" s="1">
        <f t="shared" si="14"/>
        <v>19.999999180228304</v>
      </c>
      <c r="H155" s="1">
        <f t="shared" si="15"/>
        <v>39.99999867358153</v>
      </c>
      <c r="I155" s="1">
        <f t="shared" si="16"/>
        <v>59.99999867358153</v>
      </c>
      <c r="J155" s="4">
        <f t="shared" si="17"/>
        <v>79.999999180228301</v>
      </c>
      <c r="K155" s="7">
        <f t="shared" si="18"/>
        <v>100</v>
      </c>
    </row>
    <row r="156" spans="5:11" x14ac:dyDescent="0.2">
      <c r="E156" cm="1">
        <f t="array" ref="E156">E155+dt</f>
        <v>15200</v>
      </c>
      <c r="F156" s="3">
        <f t="shared" si="13"/>
        <v>0</v>
      </c>
      <c r="G156" s="1">
        <f t="shared" si="14"/>
        <v>19.999999270999677</v>
      </c>
      <c r="H156" s="1">
        <f t="shared" si="15"/>
        <v>39.999998820452696</v>
      </c>
      <c r="I156" s="1">
        <f t="shared" si="16"/>
        <v>59.999998820452696</v>
      </c>
      <c r="J156" s="4">
        <f t="shared" si="17"/>
        <v>79.99999927099968</v>
      </c>
      <c r="K156" s="7">
        <f t="shared" si="18"/>
        <v>100</v>
      </c>
    </row>
    <row r="157" spans="5:11" x14ac:dyDescent="0.2">
      <c r="E157" cm="1">
        <f t="array" ref="E157">E156+dt</f>
        <v>15300</v>
      </c>
      <c r="F157" s="3">
        <f t="shared" si="13"/>
        <v>0</v>
      </c>
      <c r="G157" s="1">
        <f t="shared" si="14"/>
        <v>19.999999351720149</v>
      </c>
      <c r="H157" s="1">
        <f t="shared" si="15"/>
        <v>39.999998951061166</v>
      </c>
      <c r="I157" s="1">
        <f t="shared" si="16"/>
        <v>59.999998951061166</v>
      </c>
      <c r="J157" s="4">
        <f t="shared" si="17"/>
        <v>79.999999351720149</v>
      </c>
      <c r="K157" s="7">
        <f t="shared" si="18"/>
        <v>100</v>
      </c>
    </row>
    <row r="158" spans="5:11" x14ac:dyDescent="0.2">
      <c r="E158" cm="1">
        <f t="array" ref="E158">E157+dt</f>
        <v>15400</v>
      </c>
      <c r="F158" s="3">
        <f t="shared" si="13"/>
        <v>0</v>
      </c>
      <c r="G158" s="1">
        <f t="shared" si="14"/>
        <v>19.999999423502636</v>
      </c>
      <c r="H158" s="1">
        <f t="shared" si="15"/>
        <v>39.999999067207668</v>
      </c>
      <c r="I158" s="1">
        <f t="shared" si="16"/>
        <v>59.999999067207668</v>
      </c>
      <c r="J158" s="4">
        <f t="shared" si="17"/>
        <v>79.999999423502629</v>
      </c>
      <c r="K158" s="7">
        <f t="shared" si="18"/>
        <v>100</v>
      </c>
    </row>
    <row r="159" spans="5:11" x14ac:dyDescent="0.2">
      <c r="E159" cm="1">
        <f t="array" ref="E159">E158+dt</f>
        <v>15500</v>
      </c>
      <c r="F159" s="3">
        <f t="shared" si="13"/>
        <v>0</v>
      </c>
      <c r="G159" s="1">
        <f t="shared" si="14"/>
        <v>19.999999487336819</v>
      </c>
      <c r="H159" s="1">
        <f t="shared" si="15"/>
        <v>39.999999170493545</v>
      </c>
      <c r="I159" s="1">
        <f t="shared" si="16"/>
        <v>59.999999170493545</v>
      </c>
      <c r="J159" s="4">
        <f t="shared" si="17"/>
        <v>79.999999487336822</v>
      </c>
      <c r="K159" s="7">
        <f t="shared" si="18"/>
        <v>100</v>
      </c>
    </row>
    <row r="160" spans="5:11" x14ac:dyDescent="0.2">
      <c r="E160" cm="1">
        <f t="array" ref="E160">E159+dt</f>
        <v>15600</v>
      </c>
      <c r="F160" s="3">
        <f t="shared" si="13"/>
        <v>0</v>
      </c>
      <c r="G160" s="1">
        <f t="shared" si="14"/>
        <v>19.999999544102796</v>
      </c>
      <c r="H160" s="1">
        <f t="shared" si="15"/>
        <v>39.999999262342826</v>
      </c>
      <c r="I160" s="1">
        <f t="shared" si="16"/>
        <v>59.999999262342826</v>
      </c>
      <c r="J160" s="4">
        <f t="shared" si="17"/>
        <v>79.999999544102792</v>
      </c>
      <c r="K160" s="7">
        <f t="shared" si="18"/>
        <v>100</v>
      </c>
    </row>
    <row r="161" spans="5:11" x14ac:dyDescent="0.2">
      <c r="E161" cm="1">
        <f t="array" ref="E161">E160+dt</f>
        <v>15700</v>
      </c>
      <c r="F161" s="3">
        <f t="shared" si="13"/>
        <v>0</v>
      </c>
      <c r="G161" s="1">
        <f t="shared" si="14"/>
        <v>19.999999594583208</v>
      </c>
      <c r="H161" s="1">
        <f t="shared" si="15"/>
        <v>39.999999344021852</v>
      </c>
      <c r="I161" s="1">
        <f t="shared" si="16"/>
        <v>59.999999344021852</v>
      </c>
      <c r="J161" s="4">
        <f t="shared" si="17"/>
        <v>79.999999594583201</v>
      </c>
      <c r="K161" s="7">
        <f t="shared" si="18"/>
        <v>100</v>
      </c>
    </row>
    <row r="162" spans="5:11" x14ac:dyDescent="0.2">
      <c r="E162" cm="1">
        <f t="array" ref="E162">E161+dt</f>
        <v>15800</v>
      </c>
      <c r="F162" s="3">
        <f t="shared" si="13"/>
        <v>0</v>
      </c>
      <c r="G162" s="1">
        <f t="shared" si="14"/>
        <v>19.999999639474048</v>
      </c>
      <c r="H162" s="1">
        <f t="shared" si="15"/>
        <v>39.999999416656756</v>
      </c>
      <c r="I162" s="1">
        <f t="shared" si="16"/>
        <v>59.999999416656749</v>
      </c>
      <c r="J162" s="4">
        <f t="shared" si="17"/>
        <v>79.999999639474041</v>
      </c>
      <c r="K162" s="7">
        <f t="shared" si="18"/>
        <v>100</v>
      </c>
    </row>
    <row r="163" spans="5:11" x14ac:dyDescent="0.2">
      <c r="E163" cm="1">
        <f t="array" ref="E163">E162+dt</f>
        <v>15900</v>
      </c>
      <c r="F163" s="3">
        <f t="shared" si="13"/>
        <v>0</v>
      </c>
      <c r="G163" s="1">
        <f t="shared" si="14"/>
        <v>19.999999679394229</v>
      </c>
      <c r="H163" s="1">
        <f t="shared" si="15"/>
        <v>39.999999481248963</v>
      </c>
      <c r="I163" s="1">
        <f t="shared" si="16"/>
        <v>59.999999481248963</v>
      </c>
      <c r="J163" s="4">
        <f t="shared" si="17"/>
        <v>79.999999679394222</v>
      </c>
      <c r="K163" s="7">
        <f t="shared" si="18"/>
        <v>100</v>
      </c>
    </row>
    <row r="164" spans="5:11" x14ac:dyDescent="0.2">
      <c r="E164" cm="1">
        <f t="array" ref="E164">E163+dt</f>
        <v>16000</v>
      </c>
      <c r="F164" s="3">
        <f t="shared" si="13"/>
        <v>0</v>
      </c>
      <c r="G164" s="1">
        <f t="shared" si="14"/>
        <v>19.999999714894145</v>
      </c>
      <c r="H164" s="1">
        <f t="shared" si="15"/>
        <v>39.999999538689032</v>
      </c>
      <c r="I164" s="1">
        <f t="shared" si="16"/>
        <v>59.999999538689032</v>
      </c>
      <c r="J164" s="4">
        <f t="shared" si="17"/>
        <v>79.999999714894145</v>
      </c>
      <c r="K164" s="7">
        <f t="shared" si="18"/>
        <v>100</v>
      </c>
    </row>
    <row r="165" spans="5:11" x14ac:dyDescent="0.2">
      <c r="E165" cm="1">
        <f t="array" ref="E165">E164+dt</f>
        <v>16100</v>
      </c>
      <c r="F165" s="3">
        <f t="shared" si="13"/>
        <v>0</v>
      </c>
      <c r="G165" s="1">
        <f t="shared" si="14"/>
        <v>19.999999746463239</v>
      </c>
      <c r="H165" s="1">
        <f t="shared" si="15"/>
        <v>39.999999589768898</v>
      </c>
      <c r="I165" s="1">
        <f t="shared" si="16"/>
        <v>59.999999589768898</v>
      </c>
      <c r="J165" s="4">
        <f t="shared" si="17"/>
        <v>79.999999746463232</v>
      </c>
      <c r="K165" s="7">
        <f t="shared" si="18"/>
        <v>100</v>
      </c>
    </row>
    <row r="166" spans="5:11" x14ac:dyDescent="0.2">
      <c r="E166" cm="1">
        <f t="array" ref="E166">E165+dt</f>
        <v>16200</v>
      </c>
      <c r="F166" s="3">
        <f t="shared" si="13"/>
        <v>0</v>
      </c>
      <c r="G166" s="1">
        <f t="shared" si="14"/>
        <v>19.999999774536761</v>
      </c>
      <c r="H166" s="1">
        <f t="shared" si="15"/>
        <v>39.999999635192815</v>
      </c>
      <c r="I166" s="1">
        <f t="shared" si="16"/>
        <v>59.999999635192815</v>
      </c>
      <c r="J166" s="4">
        <f t="shared" si="17"/>
        <v>79.999999774536761</v>
      </c>
      <c r="K166" s="7">
        <f t="shared" si="18"/>
        <v>100</v>
      </c>
    </row>
    <row r="167" spans="5:11" x14ac:dyDescent="0.2">
      <c r="E167" cm="1">
        <f t="array" ref="E167">E166+dt</f>
        <v>16300</v>
      </c>
      <c r="F167" s="3">
        <f t="shared" si="13"/>
        <v>0</v>
      </c>
      <c r="G167" s="1">
        <f t="shared" si="14"/>
        <v>19.999999799501769</v>
      </c>
      <c r="H167" s="1">
        <f t="shared" si="15"/>
        <v>39.999999675587048</v>
      </c>
      <c r="I167" s="1">
        <f t="shared" si="16"/>
        <v>59.999999675587048</v>
      </c>
      <c r="J167" s="4">
        <f t="shared" si="17"/>
        <v>79.999999799501765</v>
      </c>
      <c r="K167" s="7">
        <f t="shared" si="18"/>
        <v>100</v>
      </c>
    </row>
    <row r="168" spans="5:11" x14ac:dyDescent="0.2">
      <c r="E168" cm="1">
        <f t="array" ref="E168">E167+dt</f>
        <v>16400</v>
      </c>
      <c r="F168" s="3">
        <f t="shared" si="13"/>
        <v>0</v>
      </c>
      <c r="G168" s="1">
        <f t="shared" si="14"/>
        <v>19.999999821702463</v>
      </c>
      <c r="H168" s="1">
        <f t="shared" si="15"/>
        <v>39.999999711508522</v>
      </c>
      <c r="I168" s="1">
        <f t="shared" si="16"/>
        <v>59.999999711508522</v>
      </c>
      <c r="J168" s="4">
        <f t="shared" si="17"/>
        <v>79.99999982170246</v>
      </c>
      <c r="K168" s="7">
        <f t="shared" si="18"/>
        <v>100</v>
      </c>
    </row>
    <row r="169" spans="5:11" x14ac:dyDescent="0.2">
      <c r="E169" cm="1">
        <f t="array" ref="E169">E168+dt</f>
        <v>16500</v>
      </c>
      <c r="F169" s="3">
        <f t="shared" si="13"/>
        <v>0</v>
      </c>
      <c r="G169" s="1">
        <f t="shared" si="14"/>
        <v>19.999999841444925</v>
      </c>
      <c r="H169" s="1">
        <f t="shared" si="15"/>
        <v>39.999999743452499</v>
      </c>
      <c r="I169" s="1">
        <f t="shared" si="16"/>
        <v>59.999999743452499</v>
      </c>
      <c r="J169" s="4">
        <f t="shared" si="17"/>
        <v>79.999999841444918</v>
      </c>
      <c r="K169" s="7">
        <f t="shared" si="18"/>
        <v>100</v>
      </c>
    </row>
    <row r="170" spans="5:11" x14ac:dyDescent="0.2">
      <c r="E170" cm="1">
        <f t="array" ref="E170">E169+dt</f>
        <v>16600</v>
      </c>
      <c r="F170" s="3">
        <f t="shared" si="13"/>
        <v>0</v>
      </c>
      <c r="G170" s="1">
        <f t="shared" si="14"/>
        <v>19.999999859001353</v>
      </c>
      <c r="H170" s="1">
        <f t="shared" si="15"/>
        <v>39.999999771859393</v>
      </c>
      <c r="I170" s="1">
        <f t="shared" si="16"/>
        <v>59.999999771859393</v>
      </c>
      <c r="J170" s="4">
        <f t="shared" si="17"/>
        <v>79.999999859001349</v>
      </c>
      <c r="K170" s="7">
        <f t="shared" si="18"/>
        <v>100</v>
      </c>
    </row>
    <row r="171" spans="5:11" x14ac:dyDescent="0.2">
      <c r="E171" cm="1">
        <f t="array" ref="E171">E170+dt</f>
        <v>16700</v>
      </c>
      <c r="F171" s="3">
        <f t="shared" si="13"/>
        <v>0</v>
      </c>
      <c r="G171" s="1">
        <f t="shared" si="14"/>
        <v>19.999999874613795</v>
      </c>
      <c r="H171" s="1">
        <f t="shared" si="15"/>
        <v>39.999999797120864</v>
      </c>
      <c r="I171" s="1">
        <f t="shared" si="16"/>
        <v>59.999999797120857</v>
      </c>
      <c r="J171" s="4">
        <f t="shared" si="17"/>
        <v>79.999999874613792</v>
      </c>
      <c r="K171" s="7">
        <f t="shared" si="18"/>
        <v>100</v>
      </c>
    </row>
    <row r="172" spans="5:11" x14ac:dyDescent="0.2">
      <c r="E172" cm="1">
        <f t="array" ref="E172">E171+dt</f>
        <v>16800</v>
      </c>
      <c r="F172" s="3">
        <f t="shared" si="13"/>
        <v>0</v>
      </c>
      <c r="G172" s="1">
        <f t="shared" si="14"/>
        <v>19.999999888497513</v>
      </c>
      <c r="H172" s="1">
        <f t="shared" si="15"/>
        <v>39.999999819585184</v>
      </c>
      <c r="I172" s="1">
        <f t="shared" si="16"/>
        <v>59.999999819585184</v>
      </c>
      <c r="J172" s="4">
        <f t="shared" si="17"/>
        <v>79.999999888497513</v>
      </c>
      <c r="K172" s="7">
        <f t="shared" si="18"/>
        <v>100</v>
      </c>
    </row>
    <row r="173" spans="5:11" x14ac:dyDescent="0.2">
      <c r="E173" cm="1">
        <f t="array" ref="E173">E172+dt</f>
        <v>16900</v>
      </c>
      <c r="F173" s="3">
        <f t="shared" si="13"/>
        <v>0</v>
      </c>
      <c r="G173" s="1">
        <f t="shared" si="14"/>
        <v>19.999999900843918</v>
      </c>
      <c r="H173" s="1">
        <f t="shared" si="15"/>
        <v>39.999999839562086</v>
      </c>
      <c r="I173" s="1">
        <f t="shared" si="16"/>
        <v>59.999999839562086</v>
      </c>
      <c r="J173" s="4">
        <f t="shared" si="17"/>
        <v>79.999999900843918</v>
      </c>
      <c r="K173" s="7">
        <f t="shared" si="18"/>
        <v>100</v>
      </c>
    </row>
    <row r="174" spans="5:11" x14ac:dyDescent="0.2">
      <c r="E174" cm="1">
        <f t="array" ref="E174">E173+dt</f>
        <v>17000</v>
      </c>
      <c r="F174" s="3">
        <f t="shared" si="13"/>
        <v>0</v>
      </c>
      <c r="G174" s="1">
        <f t="shared" si="14"/>
        <v>19.999999911823235</v>
      </c>
      <c r="H174" s="1">
        <f t="shared" si="15"/>
        <v>39.999999857326998</v>
      </c>
      <c r="I174" s="1">
        <f t="shared" si="16"/>
        <v>59.999999857326998</v>
      </c>
      <c r="J174" s="4">
        <f t="shared" si="17"/>
        <v>79.999999911823238</v>
      </c>
      <c r="K174" s="7">
        <f t="shared" si="18"/>
        <v>100</v>
      </c>
    </row>
    <row r="175" spans="5:11" x14ac:dyDescent="0.2">
      <c r="E175" cm="1">
        <f t="array" ref="E175">E174+dt</f>
        <v>17100</v>
      </c>
      <c r="F175" s="3">
        <f t="shared" si="13"/>
        <v>0</v>
      </c>
      <c r="G175" s="1">
        <f t="shared" si="14"/>
        <v>19.999999921586838</v>
      </c>
      <c r="H175" s="1">
        <f t="shared" si="15"/>
        <v>39.999999873124843</v>
      </c>
      <c r="I175" s="1">
        <f t="shared" si="16"/>
        <v>59.999999873124843</v>
      </c>
      <c r="J175" s="4">
        <f t="shared" si="17"/>
        <v>79.999999921586834</v>
      </c>
      <c r="K175" s="7">
        <f t="shared" si="18"/>
        <v>100</v>
      </c>
    </row>
    <row r="176" spans="5:11" x14ac:dyDescent="0.2">
      <c r="E176" cm="1">
        <f t="array" ref="E176">E175+dt</f>
        <v>17200</v>
      </c>
      <c r="F176" s="3">
        <f t="shared" si="13"/>
        <v>0</v>
      </c>
      <c r="G176" s="1">
        <f t="shared" si="14"/>
        <v>19.999999930269343</v>
      </c>
      <c r="H176" s="1">
        <f t="shared" si="15"/>
        <v>39.999999887173423</v>
      </c>
      <c r="I176" s="1">
        <f t="shared" si="16"/>
        <v>59.999999887173423</v>
      </c>
      <c r="J176" s="4">
        <f t="shared" si="17"/>
        <v>79.99999993026934</v>
      </c>
      <c r="K176" s="7">
        <f t="shared" si="18"/>
        <v>100</v>
      </c>
    </row>
    <row r="177" spans="5:11" x14ac:dyDescent="0.2">
      <c r="E177" cm="1">
        <f t="array" ref="E177">E176+dt</f>
        <v>17300</v>
      </c>
      <c r="F177" s="3">
        <f t="shared" si="13"/>
        <v>0</v>
      </c>
      <c r="G177" s="1">
        <f t="shared" si="14"/>
        <v>19.999999937990452</v>
      </c>
      <c r="H177" s="1">
        <f t="shared" si="15"/>
        <v>39.999999899666442</v>
      </c>
      <c r="I177" s="1">
        <f t="shared" si="16"/>
        <v>59.999999899666442</v>
      </c>
      <c r="J177" s="4">
        <f t="shared" si="17"/>
        <v>79.999999937990452</v>
      </c>
      <c r="K177" s="7">
        <f t="shared" si="18"/>
        <v>100</v>
      </c>
    </row>
    <row r="178" spans="5:11" x14ac:dyDescent="0.2">
      <c r="E178" cm="1">
        <f t="array" ref="E178">E177+dt</f>
        <v>17400</v>
      </c>
      <c r="F178" s="3">
        <f t="shared" si="13"/>
        <v>0</v>
      </c>
      <c r="G178" s="1">
        <f t="shared" si="14"/>
        <v>19.999999944856622</v>
      </c>
      <c r="H178" s="1">
        <f t="shared" si="15"/>
        <v>39.99999991077614</v>
      </c>
      <c r="I178" s="1">
        <f t="shared" si="16"/>
        <v>59.99999991077614</v>
      </c>
      <c r="J178" s="4">
        <f t="shared" si="17"/>
        <v>79.999999944856626</v>
      </c>
      <c r="K178" s="7">
        <f t="shared" si="18"/>
        <v>100</v>
      </c>
    </row>
    <row r="179" spans="5:11" x14ac:dyDescent="0.2">
      <c r="E179" cm="1">
        <f t="array" ref="E179">E178+dt</f>
        <v>17500</v>
      </c>
      <c r="F179" s="3">
        <f t="shared" si="13"/>
        <v>0</v>
      </c>
      <c r="G179" s="1">
        <f t="shared" si="14"/>
        <v>19.999999950962518</v>
      </c>
      <c r="H179" s="1">
        <f t="shared" si="15"/>
        <v>39.999999920655689</v>
      </c>
      <c r="I179" s="1">
        <f t="shared" si="16"/>
        <v>59.999999920655689</v>
      </c>
      <c r="J179" s="4">
        <f t="shared" si="17"/>
        <v>79.999999950962518</v>
      </c>
      <c r="K179" s="7">
        <f t="shared" si="18"/>
        <v>100</v>
      </c>
    </row>
    <row r="180" spans="5:11" x14ac:dyDescent="0.2">
      <c r="E180" cm="1">
        <f t="array" ref="E180">E179+dt</f>
        <v>17600</v>
      </c>
      <c r="F180" s="3">
        <f t="shared" si="13"/>
        <v>0</v>
      </c>
      <c r="G180" s="1">
        <f t="shared" si="14"/>
        <v>19.999999956392323</v>
      </c>
      <c r="H180" s="1">
        <f t="shared" si="15"/>
        <v>39.999999929441294</v>
      </c>
      <c r="I180" s="1">
        <f t="shared" si="16"/>
        <v>59.999999929441294</v>
      </c>
      <c r="J180" s="4">
        <f t="shared" si="17"/>
        <v>79.99999995639233</v>
      </c>
      <c r="K180" s="7">
        <f t="shared" si="18"/>
        <v>100</v>
      </c>
    </row>
    <row r="181" spans="5:11" x14ac:dyDescent="0.2">
      <c r="E181" cm="1">
        <f t="array" ref="E181">E180+dt</f>
        <v>17700</v>
      </c>
      <c r="F181" s="3">
        <f t="shared" si="13"/>
        <v>0</v>
      </c>
      <c r="G181" s="1">
        <f t="shared" si="14"/>
        <v>19.999999961220897</v>
      </c>
      <c r="H181" s="1">
        <f t="shared" si="15"/>
        <v>39.999999937254096</v>
      </c>
      <c r="I181" s="1">
        <f t="shared" si="16"/>
        <v>59.999999937254096</v>
      </c>
      <c r="J181" s="4">
        <f t="shared" si="17"/>
        <v>79.999999961220894</v>
      </c>
      <c r="K181" s="7">
        <f t="shared" si="18"/>
        <v>100</v>
      </c>
    </row>
    <row r="182" spans="5:11" x14ac:dyDescent="0.2">
      <c r="E182" cm="1">
        <f t="array" ref="E182">E181+dt</f>
        <v>17800</v>
      </c>
      <c r="F182" s="3">
        <f t="shared" si="13"/>
        <v>0</v>
      </c>
      <c r="G182" s="1">
        <f t="shared" si="14"/>
        <v>19.999999965514817</v>
      </c>
      <c r="H182" s="1">
        <f t="shared" si="15"/>
        <v>39.999999944201797</v>
      </c>
      <c r="I182" s="1">
        <f t="shared" si="16"/>
        <v>59.999999944201797</v>
      </c>
      <c r="J182" s="4">
        <f t="shared" si="17"/>
        <v>79.999999965514817</v>
      </c>
      <c r="K182" s="7">
        <f t="shared" si="18"/>
        <v>100</v>
      </c>
    </row>
    <row r="183" spans="5:11" x14ac:dyDescent="0.2">
      <c r="E183" cm="1">
        <f t="array" ref="E183">E182+dt</f>
        <v>17900</v>
      </c>
      <c r="F183" s="3">
        <f t="shared" si="13"/>
        <v>0</v>
      </c>
      <c r="G183" s="1">
        <f t="shared" si="14"/>
        <v>19.999999969333278</v>
      </c>
      <c r="H183" s="1">
        <f t="shared" si="15"/>
        <v>39.9999999503802</v>
      </c>
      <c r="I183" s="1">
        <f t="shared" si="16"/>
        <v>59.9999999503802</v>
      </c>
      <c r="J183" s="4">
        <f t="shared" si="17"/>
        <v>79.999999969333274</v>
      </c>
      <c r="K183" s="7">
        <f t="shared" si="18"/>
        <v>100</v>
      </c>
    </row>
    <row r="184" spans="5:11" x14ac:dyDescent="0.2">
      <c r="E184" cm="1">
        <f t="array" ref="E184">E183+dt</f>
        <v>18000</v>
      </c>
      <c r="F184" s="3">
        <f t="shared" si="13"/>
        <v>0</v>
      </c>
      <c r="G184" s="1">
        <f t="shared" si="14"/>
        <v>19.999999972728929</v>
      </c>
      <c r="H184" s="1">
        <f t="shared" si="15"/>
        <v>39.999999955874486</v>
      </c>
      <c r="I184" s="1">
        <f t="shared" si="16"/>
        <v>59.999999955874479</v>
      </c>
      <c r="J184" s="4">
        <f t="shared" si="17"/>
        <v>79.999999972728929</v>
      </c>
      <c r="K184" s="7">
        <f t="shared" si="18"/>
        <v>100</v>
      </c>
    </row>
    <row r="185" spans="5:11" x14ac:dyDescent="0.2">
      <c r="E185" cm="1">
        <f t="array" ref="E185">E184+dt</f>
        <v>18100</v>
      </c>
      <c r="F185" s="3">
        <f t="shared" si="13"/>
        <v>0</v>
      </c>
      <c r="G185" s="1">
        <f t="shared" si="14"/>
        <v>19.99999997574859</v>
      </c>
      <c r="H185" s="1">
        <f t="shared" si="15"/>
        <v>39.999999960760398</v>
      </c>
      <c r="I185" s="1">
        <f t="shared" si="16"/>
        <v>59.999999960760398</v>
      </c>
      <c r="J185" s="4">
        <f t="shared" si="17"/>
        <v>79.999999975748594</v>
      </c>
      <c r="K185" s="7">
        <f t="shared" si="18"/>
        <v>100</v>
      </c>
    </row>
    <row r="186" spans="5:11" x14ac:dyDescent="0.2">
      <c r="E186" cm="1">
        <f t="array" ref="E186">E185+dt</f>
        <v>18200</v>
      </c>
      <c r="F186" s="3">
        <f t="shared" si="13"/>
        <v>0</v>
      </c>
      <c r="G186" s="1">
        <f t="shared" si="14"/>
        <v>19.999999978433891</v>
      </c>
      <c r="H186" s="1">
        <f t="shared" si="15"/>
        <v>39.999999965105303</v>
      </c>
      <c r="I186" s="1">
        <f t="shared" si="16"/>
        <v>59.999999965105303</v>
      </c>
      <c r="J186" s="4">
        <f t="shared" si="17"/>
        <v>79.999999978433891</v>
      </c>
      <c r="K186" s="7">
        <f t="shared" si="18"/>
        <v>100</v>
      </c>
    </row>
    <row r="187" spans="5:11" x14ac:dyDescent="0.2">
      <c r="E187" cm="1">
        <f t="array" ref="E187">E186+dt</f>
        <v>18300</v>
      </c>
      <c r="F187" s="3">
        <f t="shared" si="13"/>
        <v>0</v>
      </c>
      <c r="G187" s="1">
        <f t="shared" si="14"/>
        <v>19.999999980821855</v>
      </c>
      <c r="H187" s="1">
        <f t="shared" si="15"/>
        <v>39.999999968969107</v>
      </c>
      <c r="I187" s="1">
        <f t="shared" si="16"/>
        <v>59.999999968969107</v>
      </c>
      <c r="J187" s="4">
        <f t="shared" si="17"/>
        <v>79.999999980821855</v>
      </c>
      <c r="K187" s="7">
        <f t="shared" si="18"/>
        <v>100</v>
      </c>
    </row>
    <row r="188" spans="5:11" x14ac:dyDescent="0.2">
      <c r="E188" cm="1">
        <f t="array" ref="E188">E187+dt</f>
        <v>18400</v>
      </c>
      <c r="F188" s="3">
        <f t="shared" si="13"/>
        <v>0</v>
      </c>
      <c r="G188" s="1">
        <f t="shared" si="14"/>
        <v>19.999999982945404</v>
      </c>
      <c r="H188" s="1">
        <f t="shared" si="15"/>
        <v>39.999999972405085</v>
      </c>
      <c r="I188" s="1">
        <f t="shared" si="16"/>
        <v>59.999999972405085</v>
      </c>
      <c r="J188" s="4">
        <f t="shared" si="17"/>
        <v>79.999999982945411</v>
      </c>
      <c r="K188" s="7">
        <f t="shared" si="18"/>
        <v>100</v>
      </c>
    </row>
    <row r="189" spans="5:11" x14ac:dyDescent="0.2">
      <c r="E189" cm="1">
        <f t="array" ref="E189">E188+dt</f>
        <v>18500</v>
      </c>
      <c r="F189" s="3">
        <f t="shared" si="13"/>
        <v>0</v>
      </c>
      <c r="G189" s="1">
        <f t="shared" si="14"/>
        <v>19.999999984833821</v>
      </c>
      <c r="H189" s="1">
        <f t="shared" si="15"/>
        <v>39.999999975460604</v>
      </c>
      <c r="I189" s="1">
        <f t="shared" si="16"/>
        <v>59.999999975460604</v>
      </c>
      <c r="J189" s="4">
        <f t="shared" si="17"/>
        <v>79.999999984833821</v>
      </c>
      <c r="K189" s="7">
        <f t="shared" si="18"/>
        <v>100</v>
      </c>
    </row>
    <row r="190" spans="5:11" x14ac:dyDescent="0.2">
      <c r="E190" cm="1">
        <f t="array" ref="E190">E189+dt</f>
        <v>18600</v>
      </c>
      <c r="F190" s="3">
        <f t="shared" si="13"/>
        <v>0</v>
      </c>
      <c r="G190" s="1">
        <f t="shared" si="14"/>
        <v>19.999999986513135</v>
      </c>
      <c r="H190" s="1">
        <f t="shared" si="15"/>
        <v>39.99999997817779</v>
      </c>
      <c r="I190" s="1">
        <f t="shared" si="16"/>
        <v>59.99999997817779</v>
      </c>
      <c r="J190" s="4">
        <f t="shared" si="17"/>
        <v>79.999999986513131</v>
      </c>
      <c r="K190" s="7">
        <f t="shared" si="18"/>
        <v>100</v>
      </c>
    </row>
    <row r="191" spans="5:11" x14ac:dyDescent="0.2">
      <c r="E191" cm="1">
        <f t="array" ref="E191">E190+dt</f>
        <v>18700</v>
      </c>
      <c r="F191" s="3">
        <f t="shared" si="13"/>
        <v>0</v>
      </c>
      <c r="G191" s="1">
        <f t="shared" si="14"/>
        <v>19.999999988006504</v>
      </c>
      <c r="H191" s="1">
        <f t="shared" si="15"/>
        <v>39.999999980594112</v>
      </c>
      <c r="I191" s="1">
        <f t="shared" si="16"/>
        <v>59.999999980594112</v>
      </c>
      <c r="J191" s="4">
        <f t="shared" si="17"/>
        <v>79.999999988006508</v>
      </c>
      <c r="K191" s="7">
        <f t="shared" si="18"/>
        <v>100</v>
      </c>
    </row>
    <row r="192" spans="5:11" x14ac:dyDescent="0.2">
      <c r="E192" cm="1">
        <f t="array" ref="E192">E191+dt</f>
        <v>18800</v>
      </c>
      <c r="F192" s="3">
        <f t="shared" si="13"/>
        <v>0</v>
      </c>
      <c r="G192" s="1">
        <f t="shared" si="14"/>
        <v>19.999999989334516</v>
      </c>
      <c r="H192" s="1">
        <f t="shared" si="15"/>
        <v>39.999999982742878</v>
      </c>
      <c r="I192" s="1">
        <f t="shared" si="16"/>
        <v>59.999999982742878</v>
      </c>
      <c r="J192" s="4">
        <f t="shared" si="17"/>
        <v>79.999999989334512</v>
      </c>
      <c r="K192" s="7">
        <f t="shared" si="18"/>
        <v>100</v>
      </c>
    </row>
    <row r="193" spans="5:11" x14ac:dyDescent="0.2">
      <c r="E193" cm="1">
        <f t="array" ref="E193">E192+dt</f>
        <v>18900</v>
      </c>
      <c r="F193" s="3">
        <f t="shared" si="13"/>
        <v>0</v>
      </c>
      <c r="G193" s="1">
        <f t="shared" si="14"/>
        <v>19.999999990515477</v>
      </c>
      <c r="H193" s="1">
        <f t="shared" si="15"/>
        <v>39.999999984653719</v>
      </c>
      <c r="I193" s="1">
        <f t="shared" si="16"/>
        <v>59.999999984653719</v>
      </c>
      <c r="J193" s="4">
        <f t="shared" si="17"/>
        <v>79.999999990515477</v>
      </c>
      <c r="K193" s="7">
        <f t="shared" si="18"/>
        <v>100</v>
      </c>
    </row>
    <row r="194" spans="5:11" x14ac:dyDescent="0.2">
      <c r="E194" cm="1">
        <f t="array" ref="E194">E193+dt</f>
        <v>19000</v>
      </c>
      <c r="F194" s="3">
        <f t="shared" si="13"/>
        <v>0</v>
      </c>
      <c r="G194" s="1">
        <f t="shared" si="14"/>
        <v>19.999999991565677</v>
      </c>
      <c r="H194" s="1">
        <f t="shared" si="15"/>
        <v>39.999999986352975</v>
      </c>
      <c r="I194" s="1">
        <f t="shared" si="16"/>
        <v>59.999999986352975</v>
      </c>
      <c r="J194" s="4">
        <f t="shared" si="17"/>
        <v>79.999999991565673</v>
      </c>
      <c r="K194" s="7">
        <f t="shared" si="18"/>
        <v>100</v>
      </c>
    </row>
    <row r="195" spans="5:11" x14ac:dyDescent="0.2">
      <c r="E195" cm="1">
        <f t="array" ref="E195">E194+dt</f>
        <v>19100</v>
      </c>
      <c r="F195" s="3">
        <f t="shared" si="13"/>
        <v>0</v>
      </c>
      <c r="G195" s="1">
        <f t="shared" si="14"/>
        <v>19.999999992499589</v>
      </c>
      <c r="H195" s="1">
        <f t="shared" si="15"/>
        <v>39.999999987864079</v>
      </c>
      <c r="I195" s="1">
        <f t="shared" si="16"/>
        <v>59.999999987864079</v>
      </c>
      <c r="J195" s="4">
        <f t="shared" si="17"/>
        <v>79.999999992499582</v>
      </c>
      <c r="K195" s="7">
        <f t="shared" si="18"/>
        <v>100</v>
      </c>
    </row>
    <row r="196" spans="5:11" x14ac:dyDescent="0.2">
      <c r="E196" cm="1">
        <f t="array" ref="E196">E195+dt</f>
        <v>19200</v>
      </c>
      <c r="F196" s="3">
        <f t="shared" si="13"/>
        <v>0</v>
      </c>
      <c r="G196" s="1">
        <f t="shared" si="14"/>
        <v>19.999999993330093</v>
      </c>
      <c r="H196" s="1">
        <f t="shared" si="15"/>
        <v>39.999999989207858</v>
      </c>
      <c r="I196" s="1">
        <f t="shared" si="16"/>
        <v>59.999999989207858</v>
      </c>
      <c r="J196" s="4">
        <f t="shared" si="17"/>
        <v>79.999999993330093</v>
      </c>
      <c r="K196" s="7">
        <f t="shared" si="18"/>
        <v>100</v>
      </c>
    </row>
    <row r="197" spans="5:11" x14ac:dyDescent="0.2">
      <c r="E197" cm="1">
        <f t="array" ref="E197">E196+dt</f>
        <v>19300</v>
      </c>
      <c r="F197" s="3">
        <f t="shared" ref="F197:F210" si="19">T_0</f>
        <v>0</v>
      </c>
      <c r="G197" s="1">
        <f t="shared" ref="G197:G210" si="20">G196+lambda*(H196-2*G196+F196)</f>
        <v>19.999999994068634</v>
      </c>
      <c r="H197" s="1">
        <f t="shared" ref="H197:H210" si="21">H196+lambda*(I196-2*H196+G196)</f>
        <v>39.999999990402848</v>
      </c>
      <c r="I197" s="1">
        <f t="shared" ref="I197:I210" si="22">I196+lambda*(J196-2*I196+H196)</f>
        <v>59.999999990402848</v>
      </c>
      <c r="J197" s="4">
        <f t="shared" ref="J197:J210" si="23">J196+lambda*(K196-2*J196+I196)</f>
        <v>79.999999994068631</v>
      </c>
      <c r="K197" s="7">
        <f t="shared" ref="K197:K210" si="24">T_5</f>
        <v>100</v>
      </c>
    </row>
    <row r="198" spans="5:11" x14ac:dyDescent="0.2">
      <c r="E198" cm="1">
        <f t="array" ref="E198">E197+dt</f>
        <v>19400</v>
      </c>
      <c r="F198" s="3">
        <f t="shared" si="19"/>
        <v>0</v>
      </c>
      <c r="G198" s="1">
        <f t="shared" si="20"/>
        <v>19.9999999947254</v>
      </c>
      <c r="H198" s="1">
        <f t="shared" si="21"/>
        <v>39.999999991465515</v>
      </c>
      <c r="I198" s="1">
        <f t="shared" si="22"/>
        <v>59.999999991465515</v>
      </c>
      <c r="J198" s="4">
        <f t="shared" si="23"/>
        <v>79.9999999947254</v>
      </c>
      <c r="K198" s="7">
        <f t="shared" si="24"/>
        <v>100</v>
      </c>
    </row>
    <row r="199" spans="5:11" x14ac:dyDescent="0.2">
      <c r="E199" cm="1">
        <f t="array" ref="E199">E198+dt</f>
        <v>19500</v>
      </c>
      <c r="F199" s="3">
        <f t="shared" si="19"/>
        <v>0</v>
      </c>
      <c r="G199" s="1">
        <f t="shared" si="20"/>
        <v>19.999999995309445</v>
      </c>
      <c r="H199" s="1">
        <f t="shared" si="21"/>
        <v>39.999999992410515</v>
      </c>
      <c r="I199" s="1">
        <f t="shared" si="22"/>
        <v>59.999999992410515</v>
      </c>
      <c r="J199" s="4">
        <f t="shared" si="23"/>
        <v>79.999999995309437</v>
      </c>
      <c r="K199" s="7">
        <f t="shared" si="24"/>
        <v>100</v>
      </c>
    </row>
    <row r="200" spans="5:11" x14ac:dyDescent="0.2">
      <c r="E200" cm="1">
        <f t="array" ref="E200">E199+dt</f>
        <v>19600</v>
      </c>
      <c r="F200" s="3">
        <f t="shared" si="19"/>
        <v>0</v>
      </c>
      <c r="G200" s="1">
        <f t="shared" si="20"/>
        <v>19.999999995828816</v>
      </c>
      <c r="H200" s="1">
        <f t="shared" si="21"/>
        <v>39.999999993250881</v>
      </c>
      <c r="I200" s="1">
        <f t="shared" si="22"/>
        <v>59.999999993250881</v>
      </c>
      <c r="J200" s="4">
        <f t="shared" si="23"/>
        <v>79.999999995828816</v>
      </c>
      <c r="K200" s="7">
        <f t="shared" si="24"/>
        <v>100</v>
      </c>
    </row>
    <row r="201" spans="5:11" x14ac:dyDescent="0.2">
      <c r="E201" cm="1">
        <f t="array" ref="E201">E200+dt</f>
        <v>19700</v>
      </c>
      <c r="F201" s="3">
        <f t="shared" si="19"/>
        <v>0</v>
      </c>
      <c r="G201" s="1">
        <f t="shared" si="20"/>
        <v>19.999999996290679</v>
      </c>
      <c r="H201" s="1">
        <f t="shared" si="21"/>
        <v>39.999999993998195</v>
      </c>
      <c r="I201" s="1">
        <f t="shared" si="22"/>
        <v>59.999999993998195</v>
      </c>
      <c r="J201" s="4">
        <f t="shared" si="23"/>
        <v>79.999999996290683</v>
      </c>
      <c r="K201" s="7">
        <f t="shared" si="24"/>
        <v>100</v>
      </c>
    </row>
    <row r="202" spans="5:11" x14ac:dyDescent="0.2">
      <c r="E202" cm="1">
        <f t="array" ref="E202">E201+dt</f>
        <v>19800</v>
      </c>
      <c r="F202" s="3">
        <f t="shared" si="19"/>
        <v>0</v>
      </c>
      <c r="G202" s="1">
        <f t="shared" si="20"/>
        <v>19.999999996701405</v>
      </c>
      <c r="H202" s="1">
        <f t="shared" si="21"/>
        <v>39.999999994662758</v>
      </c>
      <c r="I202" s="1">
        <f t="shared" si="22"/>
        <v>59.999999994662758</v>
      </c>
      <c r="J202" s="4">
        <f t="shared" si="23"/>
        <v>79.999999996701405</v>
      </c>
      <c r="K202" s="7">
        <f t="shared" si="24"/>
        <v>100</v>
      </c>
    </row>
    <row r="203" spans="5:11" x14ac:dyDescent="0.2">
      <c r="E203" cm="1">
        <f t="array" ref="E203">E202+dt</f>
        <v>19900</v>
      </c>
      <c r="F203" s="3">
        <f t="shared" si="19"/>
        <v>0</v>
      </c>
      <c r="G203" s="1">
        <f t="shared" si="20"/>
        <v>19.999999997066649</v>
      </c>
      <c r="H203" s="1">
        <f t="shared" si="21"/>
        <v>39.999999995253738</v>
      </c>
      <c r="I203" s="1">
        <f t="shared" si="22"/>
        <v>59.999999995253738</v>
      </c>
      <c r="J203" s="4">
        <f t="shared" si="23"/>
        <v>79.999999997066652</v>
      </c>
      <c r="K203" s="7">
        <f t="shared" si="24"/>
        <v>100</v>
      </c>
    </row>
    <row r="204" spans="5:11" x14ac:dyDescent="0.2">
      <c r="E204" cm="1">
        <f t="array" ref="E204">E203+dt</f>
        <v>20000</v>
      </c>
      <c r="F204" s="3">
        <f t="shared" si="19"/>
        <v>0</v>
      </c>
      <c r="G204" s="1">
        <f t="shared" si="20"/>
        <v>19.999999997391452</v>
      </c>
      <c r="H204" s="1">
        <f t="shared" si="21"/>
        <v>39.999999995779284</v>
      </c>
      <c r="I204" s="1">
        <f t="shared" si="22"/>
        <v>59.999999995779284</v>
      </c>
      <c r="J204" s="4">
        <f t="shared" si="23"/>
        <v>79.999999997391456</v>
      </c>
      <c r="K204" s="7">
        <f t="shared" si="24"/>
        <v>100</v>
      </c>
    </row>
    <row r="205" spans="5:11" x14ac:dyDescent="0.2">
      <c r="E205" cm="1">
        <f t="array" ref="E205">E204+dt</f>
        <v>20100</v>
      </c>
      <c r="F205" s="3">
        <f t="shared" si="19"/>
        <v>0</v>
      </c>
      <c r="G205" s="1">
        <f t="shared" si="20"/>
        <v>19.999999997680291</v>
      </c>
      <c r="H205" s="1">
        <f t="shared" si="21"/>
        <v>39.999999996246636</v>
      </c>
      <c r="I205" s="1">
        <f t="shared" si="22"/>
        <v>59.999999996246636</v>
      </c>
      <c r="J205" s="4">
        <f t="shared" si="23"/>
        <v>79.999999997680291</v>
      </c>
      <c r="K205" s="7">
        <f t="shared" si="24"/>
        <v>100</v>
      </c>
    </row>
    <row r="206" spans="5:11" x14ac:dyDescent="0.2">
      <c r="E206" cm="1">
        <f t="array" ref="E206">E205+dt</f>
        <v>20200</v>
      </c>
      <c r="F206" s="3">
        <f t="shared" si="19"/>
        <v>0</v>
      </c>
      <c r="G206" s="1">
        <f t="shared" si="20"/>
        <v>19.999999997937149</v>
      </c>
      <c r="H206" s="1">
        <f t="shared" si="21"/>
        <v>39.99999999666224</v>
      </c>
      <c r="I206" s="1">
        <f t="shared" si="22"/>
        <v>59.99999999666224</v>
      </c>
      <c r="J206" s="4">
        <f t="shared" si="23"/>
        <v>79.999999997937152</v>
      </c>
      <c r="K206" s="7">
        <f t="shared" si="24"/>
        <v>100</v>
      </c>
    </row>
    <row r="207" spans="5:11" x14ac:dyDescent="0.2">
      <c r="E207" cm="1">
        <f t="array" ref="E207">E206+dt</f>
        <v>20300</v>
      </c>
      <c r="F207" s="3">
        <f t="shared" si="19"/>
        <v>0</v>
      </c>
      <c r="G207" s="1">
        <f t="shared" si="20"/>
        <v>19.999999998165563</v>
      </c>
      <c r="H207" s="1">
        <f t="shared" si="21"/>
        <v>39.999999997031821</v>
      </c>
      <c r="I207" s="1">
        <f t="shared" si="22"/>
        <v>59.999999997031821</v>
      </c>
      <c r="J207" s="4">
        <f t="shared" si="23"/>
        <v>79.999999998165563</v>
      </c>
      <c r="K207" s="7">
        <f t="shared" si="24"/>
        <v>100</v>
      </c>
    </row>
    <row r="208" spans="5:11" x14ac:dyDescent="0.2">
      <c r="E208" cm="1">
        <f t="array" ref="E208">E207+dt</f>
        <v>20400</v>
      </c>
      <c r="F208" s="3">
        <f t="shared" si="19"/>
        <v>0</v>
      </c>
      <c r="G208" s="1">
        <f t="shared" si="20"/>
        <v>19.999999998368686</v>
      </c>
      <c r="H208" s="1">
        <f t="shared" si="21"/>
        <v>39.999999997360483</v>
      </c>
      <c r="I208" s="1">
        <f t="shared" si="22"/>
        <v>59.999999997360483</v>
      </c>
      <c r="J208" s="4">
        <f t="shared" si="23"/>
        <v>79.999999998368693</v>
      </c>
      <c r="K208" s="7">
        <f t="shared" si="24"/>
        <v>100</v>
      </c>
    </row>
    <row r="209" spans="5:11" x14ac:dyDescent="0.2">
      <c r="E209" cm="1">
        <f t="array" ref="E209">E208+dt</f>
        <v>20500</v>
      </c>
      <c r="F209" s="3">
        <f t="shared" si="19"/>
        <v>0</v>
      </c>
      <c r="G209" s="1">
        <f t="shared" si="20"/>
        <v>19.99999999854932</v>
      </c>
      <c r="H209" s="1">
        <f t="shared" si="21"/>
        <v>39.99999999765275</v>
      </c>
      <c r="I209" s="1">
        <f t="shared" si="22"/>
        <v>59.99999999765275</v>
      </c>
      <c r="J209" s="4">
        <f t="shared" si="23"/>
        <v>79.999999998549328</v>
      </c>
      <c r="K209" s="7">
        <f t="shared" si="24"/>
        <v>100</v>
      </c>
    </row>
    <row r="210" spans="5:11" x14ac:dyDescent="0.2">
      <c r="E210" cm="1">
        <f t="array" ref="E210">E209+dt</f>
        <v>20600</v>
      </c>
      <c r="F210" s="3">
        <f t="shared" si="19"/>
        <v>0</v>
      </c>
      <c r="G210" s="1">
        <f t="shared" si="20"/>
        <v>19.999999998709949</v>
      </c>
      <c r="H210" s="1">
        <f t="shared" si="21"/>
        <v>39.999999997912653</v>
      </c>
      <c r="I210" s="1">
        <f t="shared" si="22"/>
        <v>59.99999999791266</v>
      </c>
      <c r="J210" s="4">
        <f t="shared" si="23"/>
        <v>79.999999998709953</v>
      </c>
      <c r="K210" s="7">
        <f t="shared" si="24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alpha</vt:lpstr>
      <vt:lpstr>dt</vt:lpstr>
      <vt:lpstr>lambda</vt:lpstr>
      <vt:lpstr>T_0</vt:lpstr>
      <vt:lpstr>T_5</vt:lpstr>
      <vt:lpstr>T_initial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Gosz</dc:creator>
  <cp:lastModifiedBy>Michael Gosz</cp:lastModifiedBy>
  <dcterms:created xsi:type="dcterms:W3CDTF">2026-02-24T16:18:52Z</dcterms:created>
  <dcterms:modified xsi:type="dcterms:W3CDTF">2026-02-25T21:47:18Z</dcterms:modified>
</cp:coreProperties>
</file>